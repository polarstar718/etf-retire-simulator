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_및_설정" sheetId="1" state="visible" r:id="rId1"/>
    <sheet name="연차별_자산성장_시뮬레이션" sheetId="2" state="visible" r:id="rId2"/>
    <sheet name="은퇴후_현금흐름_및_고갈시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#,##0&quot;만원&quot;"/>
    <numFmt numFmtId="166" formatCode="0.0%"/>
    <numFmt numFmtId="167" formatCode="0&quot;세&quot;"/>
    <numFmt numFmtId="168" formatCode="0&quot;년 뒤&quot;"/>
  </numFmts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8"/>
    </font>
    <font>
      <name val="맑은 고딕"/>
      <i val="1"/>
      <color rgb="00595959"/>
      <sz val="9"/>
    </font>
    <font>
      <name val="맑은 고딕"/>
      <b val="1"/>
      <color rgb="001F3864"/>
      <sz val="12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1F3864"/>
      <sz val="14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right" vertical="center"/>
    </xf>
    <xf numFmtId="10" fontId="4" fillId="2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6" fontId="6" fillId="9" borderId="1" applyAlignment="1" pivotButton="0" quotePrefix="0" xfId="0">
      <alignment horizontal="right" vertical="center"/>
    </xf>
    <xf numFmtId="10" fontId="6" fillId="9" borderId="1" applyAlignment="1" pivotButton="0" quotePrefix="0" xfId="0">
      <alignment horizontal="right" vertical="center"/>
    </xf>
    <xf numFmtId="167" fontId="4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8" fontId="4" fillId="2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right" vertical="center"/>
    </xf>
    <xf numFmtId="166" fontId="6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  <xf numFmtId="0" fontId="4" fillId="10" borderId="1" pivotButton="0" quotePrefix="0" xfId="0"/>
    <xf numFmtId="0" fontId="6" fillId="1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6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4" fillId="5" borderId="1" pivotButton="0" quotePrefix="0" xfId="0"/>
    <xf numFmtId="0" fontId="4" fillId="8" borderId="1" pivotButton="0" quotePrefix="0" xfId="0"/>
    <xf numFmtId="0" fontId="4" fillId="4" borderId="1" pivotButton="0" quotePrefix="0" xfId="0"/>
    <xf numFmtId="0" fontId="6" fillId="10" borderId="1" applyAlignment="1" pivotButton="0" quotePrefix="0" xfId="0">
      <alignment horizontal="center" vertical="center" wrapText="1"/>
    </xf>
    <xf numFmtId="164" fontId="4" fillId="0" borderId="1" pivotButton="0" quotePrefix="0" xfId="0"/>
    <xf numFmtId="10" fontId="4" fillId="0" borderId="1" pivotButton="0" quotePrefix="0" xfId="0"/>
    <xf numFmtId="164" fontId="6" fillId="10" borderId="1" pivotButton="0" quotePrefix="0" xfId="0"/>
    <xf numFmtId="166" fontId="4" fillId="0" borderId="1" pivotButton="0" quotePrefix="0" xfId="0"/>
    <xf numFmtId="0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64" fontId="6" fillId="9" borderId="1" pivotButton="0" quotePrefix="0" xfId="0"/>
    <xf numFmtId="166" fontId="6" fillId="9" borderId="1" pivotButton="0" quotePrefix="0" xfId="0"/>
    <xf numFmtId="10" fontId="6" fillId="9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C00000"/>
        <sz val="14"/>
      </font>
    </dxf>
    <dxf>
      <font>
        <b val="1"/>
        <color rgb="00006100"/>
        <sz val="14"/>
      </font>
    </dxf>
    <dxf>
      <fill>
        <patternFill patternType="solid">
          <fgColor rgb="00FFF2CC"/>
        </patternFill>
      </fill>
    </dxf>
    <dxf>
      <font>
        <b val="1"/>
        <color rgb="00C00000"/>
      </font>
    </dxf>
    <dxf>
      <font>
        <b val="1"/>
      </font>
      <fill>
        <patternFill patternType="solid">
          <fgColor rgb="00FFE699"/>
        </patternFill>
      </fill>
    </dxf>
    <dxf>
      <font>
        <b val="1"/>
        <color rgb="00FF0000"/>
      </font>
      <fill>
        <patternFill patternType="solid">
          <fgColor rgb="00FF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적립기 자산 성장 (평가 자산 vs 누적 원금)</a:t>
            </a:r>
          </a:p>
        </rich>
      </tx>
    </title>
    <plotArea>
      <lineChart>
        <grouping val="standard"/>
        <ser>
          <idx val="0"/>
          <order val="0"/>
          <tx>
            <strRef>
              <f>'연차별_자산성장_시뮬레이션'!AT5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'연차별_자산성장_시뮬레이션'!$A$6:$A$55</f>
            </numRef>
          </cat>
          <val>
            <numRef>
              <f>'연차별_자산성장_시뮬레이션'!$AT$6:$AT$55</f>
            </numRef>
          </val>
        </ser>
        <ser>
          <idx val="1"/>
          <order val="1"/>
          <tx>
            <strRef>
              <f>'연차별_자산성장_시뮬레이션'!E5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'연차별_자산성장_시뮬레이션'!$A$6:$A$55</f>
            </numRef>
          </cat>
          <val>
            <numRef>
              <f>'연차별_자산성장_시뮬레이션'!$E$6:$E$55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경과 연수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numFmt formatCode="#,##0,,&quot;백만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은퇴 후 자산 잔액 및 연간 생활비</a:t>
            </a:r>
          </a:p>
        </rich>
      </tx>
    </title>
    <plotArea>
      <lineChart>
        <grouping val="standard"/>
        <ser>
          <idx val="0"/>
          <order val="0"/>
          <tx>
            <strRef>
              <f>'은퇴후_현금흐름_및_고갈시점'!P12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'은퇴후_현금흐름_및_고갈시점'!$A$13:$A$72</f>
            </numRef>
          </cat>
          <val>
            <numRef>
              <f>'은퇴후_현금흐름_및_고갈시점'!$P$13:$P$72</f>
            </numRef>
          </val>
        </ser>
        <ser>
          <idx val="1"/>
          <order val="1"/>
          <tx>
            <strRef>
              <f>'은퇴후_현금흐름_및_고갈시점'!G12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'은퇴후_현금흐름_및_고갈시점'!$A$13:$A$72</f>
            </numRef>
          </cat>
          <val>
            <numRef>
              <f>'은퇴후_현금흐름_및_고갈시점'!$G$13:$G$72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은퇴 후 연차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numFmt formatCode="#,##0,,&quot;백만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마일스톤별 연간 세후 배당금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'대시보드_및_설정'!G33</f>
            </strRef>
          </tx>
          <spPr>
            <a:ln>
              <a:prstDash val="solid"/>
            </a:ln>
          </spPr>
          <cat>
            <numRef>
              <f>'대시보드_및_설정'!$C$34:$C$42</f>
            </numRef>
          </cat>
          <val>
            <numRef>
              <f>'대시보드_및_설정'!$G$34:$G$42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,,&quot;백만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44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63</row>
      <rowOff>0</rowOff>
    </from>
    <ext cx="61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B1" s="1" t="inlineStr">
        <is>
          <t>올인원 노후 준비 ETF 복리 및 은퇴 시뮬레이터</t>
        </is>
      </c>
    </row>
    <row r="2">
      <c r="B2" s="2" t="inlineStr">
        <is>
          <t>하늘색 셀만 바꾸면 3개 시트가 모두 다시 계산됩니다.  회색 셀은 자동 계산이며 금액 단위는 원(₩)입니다.</t>
        </is>
      </c>
    </row>
    <row r="4">
      <c r="B4" s="3" t="inlineStr">
        <is>
          <t>① 기본 투자 설정</t>
        </is>
      </c>
      <c r="E4" s="3" t="inlineStr">
        <is>
          <t>③ 포트폴리오 4대 ETF 설정</t>
        </is>
      </c>
    </row>
    <row r="5" ht="30" customHeight="1">
      <c r="B5" s="4" t="inlineStr">
        <is>
          <t>초기 거치금 (원)</t>
        </is>
      </c>
      <c r="C5" s="5" t="n">
        <v>0</v>
      </c>
      <c r="E5" s="6" t="inlineStr">
        <is>
          <t>종목</t>
        </is>
      </c>
      <c r="F5" s="6" t="inlineStr">
        <is>
          <t>투자 비중</t>
        </is>
      </c>
      <c r="G5" s="6" t="inlineStr">
        <is>
          <t>주가 CAGR
(배당 제외)</t>
        </is>
      </c>
      <c r="H5" s="6" t="inlineStr">
        <is>
          <t>현재 시가배당률</t>
        </is>
      </c>
      <c r="I5" s="6" t="inlineStr">
        <is>
          <t>배당 성장률</t>
        </is>
      </c>
    </row>
    <row r="6">
      <c r="B6" s="4" t="inlineStr">
        <is>
          <t>월 총 적립 투자금 (만원)</t>
        </is>
      </c>
      <c r="C6" s="7" t="n">
        <v>200</v>
      </c>
      <c r="E6" s="8" t="inlineStr">
        <is>
          <t>QQQ</t>
        </is>
      </c>
      <c r="F6" s="9" t="n">
        <v>0.3</v>
      </c>
      <c r="G6" s="9" t="n">
        <v>0.09</v>
      </c>
      <c r="H6" s="10" t="n">
        <v>0.006</v>
      </c>
      <c r="I6" s="9" t="n">
        <v>0.08</v>
      </c>
    </row>
    <row r="7">
      <c r="B7" s="4" t="inlineStr">
        <is>
          <t>월 총 적립 투자금 (원, 자동 변환)</t>
        </is>
      </c>
      <c r="C7" s="11">
        <f>C6*10000</f>
        <v/>
      </c>
      <c r="E7" s="12" t="inlineStr">
        <is>
          <t>VOO</t>
        </is>
      </c>
      <c r="F7" s="9" t="n">
        <v>0.3</v>
      </c>
      <c r="G7" s="9" t="n">
        <v>0.075</v>
      </c>
      <c r="H7" s="10" t="n">
        <v>0.013</v>
      </c>
      <c r="I7" s="9" t="n">
        <v>0.06</v>
      </c>
    </row>
    <row r="8">
      <c r="B8" s="4" t="inlineStr">
        <is>
          <t>매년 월 투자금 증액률</t>
        </is>
      </c>
      <c r="C8" s="9" t="n">
        <v>0.03</v>
      </c>
      <c r="E8" s="13" t="inlineStr">
        <is>
          <t>SCHD</t>
        </is>
      </c>
      <c r="F8" s="9" t="n">
        <v>0.3</v>
      </c>
      <c r="G8" s="9" t="n">
        <v>0.06</v>
      </c>
      <c r="H8" s="10" t="n">
        <v>0.036</v>
      </c>
      <c r="I8" s="9" t="n">
        <v>0.08</v>
      </c>
    </row>
    <row r="9">
      <c r="B9" s="4" t="inlineStr">
        <is>
          <t>배당금 재투자 비율 (0~100%)</t>
        </is>
      </c>
      <c r="C9" s="14" t="n">
        <v>1</v>
      </c>
      <c r="E9" s="15" t="inlineStr">
        <is>
          <t>QLD</t>
        </is>
      </c>
      <c r="F9" s="9" t="n">
        <v>0.1</v>
      </c>
      <c r="G9" s="9" t="n">
        <v>0.11</v>
      </c>
      <c r="H9" s="10" t="n">
        <v>0.001</v>
      </c>
      <c r="I9" s="9" t="n">
        <v>0</v>
      </c>
    </row>
    <row r="10">
      <c r="B10" s="4" t="inlineStr">
        <is>
          <t>배당소득세율</t>
        </is>
      </c>
      <c r="C10" s="9" t="n">
        <v>0.154</v>
      </c>
      <c r="E10" s="16" t="inlineStr">
        <is>
          <t>합계 / 가중평균</t>
        </is>
      </c>
      <c r="F10" s="17">
        <f>SUM(F6:F9)</f>
        <v/>
      </c>
      <c r="G10" s="18">
        <f>SUMPRODUCT($F$6:$F$9,G6:G9)</f>
        <v/>
      </c>
      <c r="H10" s="18">
        <f>SUMPRODUCT($F$6:$F$9,H6:H9)</f>
        <v/>
      </c>
      <c r="I10" s="18">
        <f>SUMPRODUCT($F$6:$F$9,I6:I9)</f>
        <v/>
      </c>
    </row>
    <row r="11">
      <c r="B11" s="4" t="inlineStr">
        <is>
          <t>현재 나이 (만 나이)</t>
        </is>
      </c>
      <c r="C11" s="19" t="n">
        <v>35</v>
      </c>
      <c r="E11" s="20" t="inlineStr">
        <is>
          <t>비중 합계 검사</t>
        </is>
      </c>
      <c r="F11" s="20">
        <f>IF(ROUND(F10,4)=1,"✅ 합계 100% 정상","⚠️ 합계 "&amp;TEXT(F10,"0.0%")&amp;" → 100%로 맞춰 주세요")</f>
        <v/>
      </c>
      <c r="G11" s="21" t="n"/>
      <c r="H11" s="21" t="n"/>
      <c r="I11" s="21" t="n"/>
    </row>
    <row r="12">
      <c r="E12" s="2" t="inlineStr">
        <is>
          <t>※ 주가 CAGR은 배당을 뺀 가격 상승률입니다. 기본값은 장기 보수적 가정이며 QLD는 변동성 손실을 반영했습니다.</t>
        </is>
      </c>
    </row>
    <row r="13">
      <c r="B13" s="3" t="inlineStr">
        <is>
          <t>② 은퇴 및 인출 설정</t>
        </is>
      </c>
    </row>
    <row r="14">
      <c r="B14" s="4" t="inlineStr">
        <is>
          <t>은퇴 목표 시점 (투자 시작 후 N년 뒤)</t>
        </is>
      </c>
      <c r="C14" s="22" t="n">
        <v>25</v>
      </c>
    </row>
    <row r="15">
      <c r="B15" s="4" t="inlineStr">
        <is>
          <t>은퇴 후 희망 월 지출액 (현재 가치, 원)</t>
        </is>
      </c>
      <c r="C15" s="5" t="n">
        <v>4000000</v>
      </c>
    </row>
    <row r="16">
      <c r="B16" s="4" t="inlineStr">
        <is>
          <t>물가상승률 (인플레이션)</t>
        </is>
      </c>
      <c r="C16" s="9" t="n">
        <v>0.025</v>
      </c>
    </row>
    <row r="17">
      <c r="B17" s="4" t="inlineStr">
        <is>
          <t>은퇴 후 주가성장률 할인폭 (%p)</t>
        </is>
      </c>
      <c r="C17" s="9" t="n">
        <v>0.025</v>
      </c>
    </row>
    <row r="18">
      <c r="B18" s="4" t="inlineStr">
        <is>
          <t>해외주식 양도소득세율</t>
        </is>
      </c>
      <c r="C18" s="9" t="n">
        <v>0.22</v>
      </c>
    </row>
    <row r="19">
      <c r="B19" s="4" t="inlineStr">
        <is>
          <t>양도세 연간 기본공제 (원)</t>
        </is>
      </c>
      <c r="C19" s="5" t="n">
        <v>2500000</v>
      </c>
    </row>
    <row r="20">
      <c r="B20" s="4" t="inlineStr">
        <is>
          <t>은퇴 시점 나이 (자동)</t>
        </is>
      </c>
      <c r="C20" s="23">
        <f>C11+C14</f>
        <v/>
      </c>
    </row>
    <row r="21">
      <c r="B21" s="4" t="inlineStr">
        <is>
          <t>은퇴 첫해 월 지출액 (물가 반영, 자동)</t>
        </is>
      </c>
      <c r="C21" s="11">
        <f>C15*(1+C16)^C14</f>
        <v/>
      </c>
    </row>
    <row r="23">
      <c r="B23" s="3" t="inlineStr">
        <is>
          <t>④ 핵심 결과 요약</t>
        </is>
      </c>
    </row>
    <row r="24">
      <c r="B24" s="24" t="inlineStr">
        <is>
          <t>은퇴 시점 평가 자산 (명목)</t>
        </is>
      </c>
      <c r="C24" s="25">
        <f>INDEX('연차별_자산성장_시뮬레이션'!$AT$6:$AT$55,$C$14)</f>
        <v/>
      </c>
    </row>
    <row r="25">
      <c r="B25" s="24" t="inlineStr">
        <is>
          <t>은퇴 시점 자산 (현재 가치 환산)</t>
        </is>
      </c>
      <c r="C25" s="25">
        <f>C24/(1+C16)^C14</f>
        <v/>
      </c>
    </row>
    <row r="26">
      <c r="B26" s="24" t="inlineStr">
        <is>
          <t>은퇴 직전 해 연간 세후 배당금</t>
        </is>
      </c>
      <c r="C26" s="25">
        <f>INDEX('연차별_자산성장_시뮬레이션'!$AO$6:$AO$55,$C$14)</f>
        <v/>
      </c>
    </row>
    <row r="27">
      <c r="B27" s="24" t="inlineStr">
        <is>
          <t>은퇴 첫해 연간 생활비 (물가 반영)</t>
        </is>
      </c>
      <c r="C27" s="25">
        <f>C21*12</f>
        <v/>
      </c>
    </row>
    <row r="28">
      <c r="B28" s="24" t="inlineStr">
        <is>
          <t>은퇴 첫해 배당으로 생활비를 메우는 비율</t>
        </is>
      </c>
      <c r="C28" s="26">
        <f>IFERROR('은퇴후_현금흐름_및_고갈시점'!L13/'은퇴후_현금흐름_및_고갈시점'!G13,0)</f>
        <v/>
      </c>
    </row>
    <row r="29" ht="24" customHeight="1">
      <c r="B29" s="24" t="inlineStr">
        <is>
          <t>자산 고갈 예상 시점</t>
        </is>
      </c>
      <c r="C29" s="27">
        <f>'은퇴후_현금흐름_및_고갈시점'!C3</f>
        <v/>
      </c>
      <c r="D29" s="28" t="n"/>
      <c r="E29" s="28" t="n"/>
      <c r="F29" s="28" t="n"/>
    </row>
    <row r="30">
      <c r="B30" s="24" t="inlineStr">
        <is>
          <t>자본 잠식 여부</t>
        </is>
      </c>
      <c r="C30" s="29">
        <f>'은퇴후_현금흐름_및_고갈시점'!C4</f>
        <v/>
      </c>
      <c r="D30" s="28" t="n"/>
      <c r="E30" s="28" t="n"/>
      <c r="F30" s="28" t="n"/>
    </row>
    <row r="32">
      <c r="B32" s="3" t="inlineStr">
        <is>
          <t>⑤ 단기·중기·장기 마일스톤 요약  (적립을 50년간 계속하는 경우 + 은퇴 후 실제 잔액)</t>
        </is>
      </c>
    </row>
    <row r="33" ht="32" customHeight="1">
      <c r="B33" s="6" t="inlineStr">
        <is>
          <t>구분</t>
        </is>
      </c>
      <c r="C33" s="6" t="inlineStr">
        <is>
          <t>경과 연수</t>
        </is>
      </c>
      <c r="D33" s="6" t="inlineStr">
        <is>
          <t>나이</t>
        </is>
      </c>
      <c r="E33" s="6" t="inlineStr">
        <is>
          <t>누적 원금</t>
        </is>
      </c>
      <c r="F33" s="6" t="inlineStr">
        <is>
          <t>평가 자산 총액</t>
        </is>
      </c>
      <c r="G33" s="6" t="inlineStr">
        <is>
          <t>연간 세후 배당금</t>
        </is>
      </c>
      <c r="H33" s="6" t="inlineStr">
        <is>
          <t>월평균 배당 현금흐름</t>
        </is>
      </c>
      <c r="I33" s="6" t="inlineStr">
        <is>
          <t>총 수익률</t>
        </is>
      </c>
      <c r="J33" s="6" t="inlineStr">
        <is>
          <t>은퇴 후 실제 잔액
(Sheet3)</t>
        </is>
      </c>
      <c r="K33" s="6" t="inlineStr">
        <is>
          <t>실제 잔액
(현재 가치)</t>
        </is>
      </c>
    </row>
    <row r="34">
      <c r="B34" s="30" t="inlineStr">
        <is>
          <t>단기</t>
        </is>
      </c>
      <c r="C34" s="31" t="n">
        <v>1</v>
      </c>
      <c r="D34" s="32">
        <f>$C$11+C34</f>
        <v/>
      </c>
      <c r="E34" s="33">
        <f>INDEX('연차별_자산성장_시뮬레이션'!$E$6:$E$55,MATCH($C34,'연차별_자산성장_시뮬레이션'!$A$6:$A$55,0))</f>
        <v/>
      </c>
      <c r="F34" s="34">
        <f>INDEX('연차별_자산성장_시뮬레이션'!$AT$6:$AT$55,MATCH($C34,'연차별_자산성장_시뮬레이션'!$A$6:$A$55,0))</f>
        <v/>
      </c>
      <c r="G34" s="33">
        <f>INDEX('연차별_자산성장_시뮬레이션'!$AO$6:$AO$55,MATCH($C34,'연차별_자산성장_시뮬레이션'!$A$6:$A$55,0))</f>
        <v/>
      </c>
      <c r="H34" s="33">
        <f>INDEX('연차별_자산성장_시뮬레이션'!$AU$6:$AU$55,MATCH($C34,'연차별_자산성장_시뮬레이션'!$A$6:$A$55,0))</f>
        <v/>
      </c>
      <c r="I34" s="35">
        <f>INDEX('연차별_자산성장_시뮬레이션'!$AV$6:$AV$55,MATCH($C34,'연차별_자산성장_시뮬레이션'!$A$6:$A$55,0))</f>
        <v/>
      </c>
      <c r="J34" s="34">
        <f>IF(C34&lt;=$C$14,F34,INDEX('은퇴후_현금흐름_및_고갈시점'!$P$13:$P$72,C34-$C$14))</f>
        <v/>
      </c>
      <c r="K34" s="33">
        <f>J34/(1+$C$16)^C34</f>
        <v/>
      </c>
    </row>
    <row r="35">
      <c r="B35" s="36" t="n"/>
      <c r="C35" s="31" t="n">
        <v>3</v>
      </c>
      <c r="D35" s="32">
        <f>$C$11+C35</f>
        <v/>
      </c>
      <c r="E35" s="33">
        <f>INDEX('연차별_자산성장_시뮬레이션'!$E$6:$E$55,MATCH($C35,'연차별_자산성장_시뮬레이션'!$A$6:$A$55,0))</f>
        <v/>
      </c>
      <c r="F35" s="34">
        <f>INDEX('연차별_자산성장_시뮬레이션'!$AT$6:$AT$55,MATCH($C35,'연차별_자산성장_시뮬레이션'!$A$6:$A$55,0))</f>
        <v/>
      </c>
      <c r="G35" s="33">
        <f>INDEX('연차별_자산성장_시뮬레이션'!$AO$6:$AO$55,MATCH($C35,'연차별_자산성장_시뮬레이션'!$A$6:$A$55,0))</f>
        <v/>
      </c>
      <c r="H35" s="33">
        <f>INDEX('연차별_자산성장_시뮬레이션'!$AU$6:$AU$55,MATCH($C35,'연차별_자산성장_시뮬레이션'!$A$6:$A$55,0))</f>
        <v/>
      </c>
      <c r="I35" s="35">
        <f>INDEX('연차별_자산성장_시뮬레이션'!$AV$6:$AV$55,MATCH($C35,'연차별_자산성장_시뮬레이션'!$A$6:$A$55,0))</f>
        <v/>
      </c>
      <c r="J35" s="34">
        <f>IF(C35&lt;=$C$14,F35,INDEX('은퇴후_현금흐름_및_고갈시점'!$P$13:$P$72,C35-$C$14))</f>
        <v/>
      </c>
      <c r="K35" s="33">
        <f>J35/(1+$C$16)^C35</f>
        <v/>
      </c>
    </row>
    <row r="36">
      <c r="B36" s="36" t="n"/>
      <c r="C36" s="31" t="n">
        <v>5</v>
      </c>
      <c r="D36" s="32">
        <f>$C$11+C36</f>
        <v/>
      </c>
      <c r="E36" s="33">
        <f>INDEX('연차별_자산성장_시뮬레이션'!$E$6:$E$55,MATCH($C36,'연차별_자산성장_시뮬레이션'!$A$6:$A$55,0))</f>
        <v/>
      </c>
      <c r="F36" s="34">
        <f>INDEX('연차별_자산성장_시뮬레이션'!$AT$6:$AT$55,MATCH($C36,'연차별_자산성장_시뮬레이션'!$A$6:$A$55,0))</f>
        <v/>
      </c>
      <c r="G36" s="33">
        <f>INDEX('연차별_자산성장_시뮬레이션'!$AO$6:$AO$55,MATCH($C36,'연차별_자산성장_시뮬레이션'!$A$6:$A$55,0))</f>
        <v/>
      </c>
      <c r="H36" s="33">
        <f>INDEX('연차별_자산성장_시뮬레이션'!$AU$6:$AU$55,MATCH($C36,'연차별_자산성장_시뮬레이션'!$A$6:$A$55,0))</f>
        <v/>
      </c>
      <c r="I36" s="35">
        <f>INDEX('연차별_자산성장_시뮬레이션'!$AV$6:$AV$55,MATCH($C36,'연차별_자산성장_시뮬레이션'!$A$6:$A$55,0))</f>
        <v/>
      </c>
      <c r="J36" s="34">
        <f>IF(C36&lt;=$C$14,F36,INDEX('은퇴후_현금흐름_및_고갈시점'!$P$13:$P$72,C36-$C$14))</f>
        <v/>
      </c>
      <c r="K36" s="33">
        <f>J36/(1+$C$16)^C36</f>
        <v/>
      </c>
    </row>
    <row r="37">
      <c r="B37" s="37" t="inlineStr">
        <is>
          <t>중기</t>
        </is>
      </c>
      <c r="C37" s="31" t="n">
        <v>10</v>
      </c>
      <c r="D37" s="32">
        <f>$C$11+C37</f>
        <v/>
      </c>
      <c r="E37" s="33">
        <f>INDEX('연차별_자산성장_시뮬레이션'!$E$6:$E$55,MATCH($C37,'연차별_자산성장_시뮬레이션'!$A$6:$A$55,0))</f>
        <v/>
      </c>
      <c r="F37" s="34">
        <f>INDEX('연차별_자산성장_시뮬레이션'!$AT$6:$AT$55,MATCH($C37,'연차별_자산성장_시뮬레이션'!$A$6:$A$55,0))</f>
        <v/>
      </c>
      <c r="G37" s="33">
        <f>INDEX('연차별_자산성장_시뮬레이션'!$AO$6:$AO$55,MATCH($C37,'연차별_자산성장_시뮬레이션'!$A$6:$A$55,0))</f>
        <v/>
      </c>
      <c r="H37" s="33">
        <f>INDEX('연차별_자산성장_시뮬레이션'!$AU$6:$AU$55,MATCH($C37,'연차별_자산성장_시뮬레이션'!$A$6:$A$55,0))</f>
        <v/>
      </c>
      <c r="I37" s="35">
        <f>INDEX('연차별_자산성장_시뮬레이션'!$AV$6:$AV$55,MATCH($C37,'연차별_자산성장_시뮬레이션'!$A$6:$A$55,0))</f>
        <v/>
      </c>
      <c r="J37" s="34">
        <f>IF(C37&lt;=$C$14,F37,INDEX('은퇴후_현금흐름_및_고갈시점'!$P$13:$P$72,C37-$C$14))</f>
        <v/>
      </c>
      <c r="K37" s="33">
        <f>J37/(1+$C$16)^C37</f>
        <v/>
      </c>
    </row>
    <row r="38">
      <c r="B38" s="38" t="n"/>
      <c r="C38" s="31" t="n">
        <v>15</v>
      </c>
      <c r="D38" s="32">
        <f>$C$11+C38</f>
        <v/>
      </c>
      <c r="E38" s="33">
        <f>INDEX('연차별_자산성장_시뮬레이션'!$E$6:$E$55,MATCH($C38,'연차별_자산성장_시뮬레이션'!$A$6:$A$55,0))</f>
        <v/>
      </c>
      <c r="F38" s="34">
        <f>INDEX('연차별_자산성장_시뮬레이션'!$AT$6:$AT$55,MATCH($C38,'연차별_자산성장_시뮬레이션'!$A$6:$A$55,0))</f>
        <v/>
      </c>
      <c r="G38" s="33">
        <f>INDEX('연차별_자산성장_시뮬레이션'!$AO$6:$AO$55,MATCH($C38,'연차별_자산성장_시뮬레이션'!$A$6:$A$55,0))</f>
        <v/>
      </c>
      <c r="H38" s="33">
        <f>INDEX('연차별_자산성장_시뮬레이션'!$AU$6:$AU$55,MATCH($C38,'연차별_자산성장_시뮬레이션'!$A$6:$A$55,0))</f>
        <v/>
      </c>
      <c r="I38" s="35">
        <f>INDEX('연차별_자산성장_시뮬레이션'!$AV$6:$AV$55,MATCH($C38,'연차별_자산성장_시뮬레이션'!$A$6:$A$55,0))</f>
        <v/>
      </c>
      <c r="J38" s="34">
        <f>IF(C38&lt;=$C$14,F38,INDEX('은퇴후_현금흐름_및_고갈시점'!$P$13:$P$72,C38-$C$14))</f>
        <v/>
      </c>
      <c r="K38" s="33">
        <f>J38/(1+$C$16)^C38</f>
        <v/>
      </c>
    </row>
    <row r="39">
      <c r="B39" s="38" t="n"/>
      <c r="C39" s="31" t="n">
        <v>20</v>
      </c>
      <c r="D39" s="32">
        <f>$C$11+C39</f>
        <v/>
      </c>
      <c r="E39" s="33">
        <f>INDEX('연차별_자산성장_시뮬레이션'!$E$6:$E$55,MATCH($C39,'연차별_자산성장_시뮬레이션'!$A$6:$A$55,0))</f>
        <v/>
      </c>
      <c r="F39" s="34">
        <f>INDEX('연차별_자산성장_시뮬레이션'!$AT$6:$AT$55,MATCH($C39,'연차별_자산성장_시뮬레이션'!$A$6:$A$55,0))</f>
        <v/>
      </c>
      <c r="G39" s="33">
        <f>INDEX('연차별_자산성장_시뮬레이션'!$AO$6:$AO$55,MATCH($C39,'연차별_자산성장_시뮬레이션'!$A$6:$A$55,0))</f>
        <v/>
      </c>
      <c r="H39" s="33">
        <f>INDEX('연차별_자산성장_시뮬레이션'!$AU$6:$AU$55,MATCH($C39,'연차별_자산성장_시뮬레이션'!$A$6:$A$55,0))</f>
        <v/>
      </c>
      <c r="I39" s="35">
        <f>INDEX('연차별_자산성장_시뮬레이션'!$AV$6:$AV$55,MATCH($C39,'연차별_자산성장_시뮬레이션'!$A$6:$A$55,0))</f>
        <v/>
      </c>
      <c r="J39" s="34">
        <f>IF(C39&lt;=$C$14,F39,INDEX('은퇴후_현금흐름_및_고갈시점'!$P$13:$P$72,C39-$C$14))</f>
        <v/>
      </c>
      <c r="K39" s="33">
        <f>J39/(1+$C$16)^C39</f>
        <v/>
      </c>
    </row>
    <row r="40">
      <c r="B40" s="39" t="inlineStr">
        <is>
          <t>장기</t>
        </is>
      </c>
      <c r="C40" s="31" t="n">
        <v>30</v>
      </c>
      <c r="D40" s="32">
        <f>$C$11+C40</f>
        <v/>
      </c>
      <c r="E40" s="33">
        <f>INDEX('연차별_자산성장_시뮬레이션'!$E$6:$E$55,MATCH($C40,'연차별_자산성장_시뮬레이션'!$A$6:$A$55,0))</f>
        <v/>
      </c>
      <c r="F40" s="34">
        <f>INDEX('연차별_자산성장_시뮬레이션'!$AT$6:$AT$55,MATCH($C40,'연차별_자산성장_시뮬레이션'!$A$6:$A$55,0))</f>
        <v/>
      </c>
      <c r="G40" s="33">
        <f>INDEX('연차별_자산성장_시뮬레이션'!$AO$6:$AO$55,MATCH($C40,'연차별_자산성장_시뮬레이션'!$A$6:$A$55,0))</f>
        <v/>
      </c>
      <c r="H40" s="33">
        <f>INDEX('연차별_자산성장_시뮬레이션'!$AU$6:$AU$55,MATCH($C40,'연차별_자산성장_시뮬레이션'!$A$6:$A$55,0))</f>
        <v/>
      </c>
      <c r="I40" s="35">
        <f>INDEX('연차별_자산성장_시뮬레이션'!$AV$6:$AV$55,MATCH($C40,'연차별_자산성장_시뮬레이션'!$A$6:$A$55,0))</f>
        <v/>
      </c>
      <c r="J40" s="34">
        <f>IF(C40&lt;=$C$14,F40,INDEX('은퇴후_현금흐름_및_고갈시점'!$P$13:$P$72,C40-$C$14))</f>
        <v/>
      </c>
      <c r="K40" s="33">
        <f>J40/(1+$C$16)^C40</f>
        <v/>
      </c>
    </row>
    <row r="41">
      <c r="B41" s="40" t="n"/>
      <c r="C41" s="31" t="n">
        <v>40</v>
      </c>
      <c r="D41" s="32">
        <f>$C$11+C41</f>
        <v/>
      </c>
      <c r="E41" s="33">
        <f>INDEX('연차별_자산성장_시뮬레이션'!$E$6:$E$55,MATCH($C41,'연차별_자산성장_시뮬레이션'!$A$6:$A$55,0))</f>
        <v/>
      </c>
      <c r="F41" s="34">
        <f>INDEX('연차별_자산성장_시뮬레이션'!$AT$6:$AT$55,MATCH($C41,'연차별_자산성장_시뮬레이션'!$A$6:$A$55,0))</f>
        <v/>
      </c>
      <c r="G41" s="33">
        <f>INDEX('연차별_자산성장_시뮬레이션'!$AO$6:$AO$55,MATCH($C41,'연차별_자산성장_시뮬레이션'!$A$6:$A$55,0))</f>
        <v/>
      </c>
      <c r="H41" s="33">
        <f>INDEX('연차별_자산성장_시뮬레이션'!$AU$6:$AU$55,MATCH($C41,'연차별_자산성장_시뮬레이션'!$A$6:$A$55,0))</f>
        <v/>
      </c>
      <c r="I41" s="35">
        <f>INDEX('연차별_자산성장_시뮬레이션'!$AV$6:$AV$55,MATCH($C41,'연차별_자산성장_시뮬레이션'!$A$6:$A$55,0))</f>
        <v/>
      </c>
      <c r="J41" s="34">
        <f>IF(C41&lt;=$C$14,F41,INDEX('은퇴후_현금흐름_및_고갈시점'!$P$13:$P$72,C41-$C$14))</f>
        <v/>
      </c>
      <c r="K41" s="33">
        <f>J41/(1+$C$16)^C41</f>
        <v/>
      </c>
    </row>
    <row r="42">
      <c r="B42" s="40" t="n"/>
      <c r="C42" s="31" t="n">
        <v>50</v>
      </c>
      <c r="D42" s="32">
        <f>$C$11+C42</f>
        <v/>
      </c>
      <c r="E42" s="33">
        <f>INDEX('연차별_자산성장_시뮬레이션'!$E$6:$E$55,MATCH($C42,'연차별_자산성장_시뮬레이션'!$A$6:$A$55,0))</f>
        <v/>
      </c>
      <c r="F42" s="34">
        <f>INDEX('연차별_자산성장_시뮬레이션'!$AT$6:$AT$55,MATCH($C42,'연차별_자산성장_시뮬레이션'!$A$6:$A$55,0))</f>
        <v/>
      </c>
      <c r="G42" s="33">
        <f>INDEX('연차별_자산성장_시뮬레이션'!$AO$6:$AO$55,MATCH($C42,'연차별_자산성장_시뮬레이션'!$A$6:$A$55,0))</f>
        <v/>
      </c>
      <c r="H42" s="33">
        <f>INDEX('연차별_자산성장_시뮬레이션'!$AU$6:$AU$55,MATCH($C42,'연차별_자산성장_시뮬레이션'!$A$6:$A$55,0))</f>
        <v/>
      </c>
      <c r="I42" s="35">
        <f>INDEX('연차별_자산성장_시뮬레이션'!$AV$6:$AV$55,MATCH($C42,'연차별_자산성장_시뮬레이션'!$A$6:$A$55,0))</f>
        <v/>
      </c>
      <c r="J42" s="34">
        <f>IF(C42&lt;=$C$14,F42,INDEX('은퇴후_현금흐름_및_고갈시점'!$P$13:$P$72,C42-$C$14))</f>
        <v/>
      </c>
      <c r="K42" s="33">
        <f>J42/(1+$C$16)^C42</f>
        <v/>
      </c>
    </row>
    <row r="43">
      <c r="B43" s="2" t="inlineStr">
        <is>
          <t>※ 누적 원금~총 수익률은 은퇴하지 않고 50년 동안 계속 적립한다고 가정한 값입니다(Sheet2).  노란 칸은 은퇴 이후 생활비를 빼고 남은 실제 잔액입니다(Sheet3).  총 수익률 = (평가 자산 + 누적 현금 수령 배당) ÷ 누적 원금 − 1</t>
        </is>
      </c>
    </row>
  </sheetData>
  <mergeCells count="6">
    <mergeCell ref="B34:B36"/>
    <mergeCell ref="B40:B42"/>
    <mergeCell ref="F11:I11"/>
    <mergeCell ref="C29:F29"/>
    <mergeCell ref="C30:F30"/>
    <mergeCell ref="B37:B39"/>
  </mergeCells>
  <conditionalFormatting sqref="F10:F11">
    <cfRule type="expression" priority="1" dxfId="0">
      <formula>ROUND($F$10,4)&lt;&gt;1</formula>
    </cfRule>
    <cfRule type="expression" priority="2" dxfId="1">
      <formula>ROUND($F$10,4)=1</formula>
    </cfRule>
  </conditionalFormatting>
  <conditionalFormatting sqref="C29:F29">
    <cfRule type="expression" priority="3" dxfId="2">
      <formula>ISNUMBER(SEARCH("고갈",$C$29))</formula>
    </cfRule>
    <cfRule type="expression" priority="4" dxfId="3">
      <formula>ISNUMBER(SEARCH("영구",$C$29))</formula>
    </cfRule>
  </conditionalFormatting>
  <conditionalFormatting sqref="J34:K42">
    <cfRule type="expression" priority="5" dxfId="4">
      <formula>$C34&gt;$C$14</formula>
    </cfRule>
    <cfRule type="expression" priority="6" dxfId="5">
      <formula>AND($C34&gt;$C$14,$J34&lt;=0)</formula>
    </cfRule>
  </conditionalFormatting>
  <dataValidations count="7">
    <dataValidation sqref="F6:F9" showDropDown="0" showInputMessage="0" showErrorMessage="1" allowBlank="0" errorTitle="입력값 확인" error="비중은 0%~100% 사이로 입력하세요. 네 종목 합계는 100%여야 합니다." type="decimal" operator="between">
      <formula1>0</formula1>
      <formula2>1</formula2>
    </dataValidation>
    <dataValidation sqref="C9" showDropDown="0" showInputMessage="0" showErrorMessage="1" allowBlank="0" errorTitle="입력값 확인" error="재투자 비율은 0%~100% 사이로 입력하세요." type="decimal" operator="between">
      <formula1>0</formula1>
      <formula2>1</formula2>
    </dataValidation>
    <dataValidation sqref="C10" showDropDown="0" showInputMessage="0" showErrorMessage="1" allowBlank="0" errorTitle="입력값 확인" error="세율은 0%~100% 사이로 입력하세요." type="decimal" operator="between">
      <formula1>0</formula1>
      <formula2>1</formula2>
    </dataValidation>
    <dataValidation sqref="C14" showDropDown="0" showInputMessage="0" showErrorMessage="1" allowBlank="0" errorTitle="입력값 확인" error="은퇴 시점은 1~50년 사이의 정수로 입력하세요." type="whole" operator="between">
      <formula1>1</formula1>
      <formula2>50</formula2>
    </dataValidation>
    <dataValidation sqref="C11" showDropDown="0" showInputMessage="0" showErrorMessage="1" allowBlank="0" errorTitle="입력값 확인" error="나이는 0~100 사이의 정수로 입력하세요." type="whole" operator="between">
      <formula1>0</formula1>
      <formula2>100</formula2>
    </dataValidation>
    <dataValidation sqref="C5:C6" showDropDown="0" showInputMessage="0" showErrorMessage="1" allowBlank="0" errorTitle="입력값 확인" error="0 이상의 금액을 입력하세요." type="decimal" operator="between">
      <formula1>0</formula1>
      <formula2>10000000000000</formula2>
    </dataValidation>
    <dataValidation sqref="C18" showDropDown="0" showInputMessage="0" showErrorMessage="1" allowBlank="0" errorTitle="입력값 확인" error="세율은 0%~100% 사이로 입력하세요.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연차별 자산 성장 시뮬레이션 (1~50년 차, 은퇴 없이 계속 적립하는 경우)</t>
        </is>
      </c>
    </row>
    <row r="2">
      <c r="A2" s="2" t="inlineStr">
        <is>
          <t>매달 초에 납입하고, 신규 납입금의 연말 가치는 FV(월 수익률, 12, 월 납입액, 0, 1)로 계산합니다.  연차별 배당률 = 현재 배당률 × ((1+배당 성장률)/(1+주가 CAGR))^(연차−1).  신규 납입금 배당은 평균 보유 6.5개월을 반영해 13/24만 계산합니다.  노란 행 = 은퇴 연차</t>
        </is>
      </c>
    </row>
    <row r="4">
      <c r="A4" s="6" t="inlineStr">
        <is>
          <t>연차</t>
        </is>
      </c>
      <c r="B4" s="6" t="inlineStr">
        <is>
          <t>나이(연말)</t>
        </is>
      </c>
      <c r="C4" s="6" t="inlineStr">
        <is>
          <t>월 투자금</t>
        </is>
      </c>
      <c r="D4" s="6" t="inlineStr">
        <is>
          <t>연간 신규 납입금</t>
        </is>
      </c>
      <c r="E4" s="6" t="inlineStr">
        <is>
          <t>누적 원금</t>
        </is>
      </c>
      <c r="F4" s="8" t="inlineStr">
        <is>
          <t>QQQ</t>
        </is>
      </c>
      <c r="G4" s="41" t="n"/>
      <c r="H4" s="41" t="n"/>
      <c r="I4" s="41" t="n"/>
      <c r="J4" s="41" t="n"/>
      <c r="K4" s="41" t="n"/>
      <c r="L4" s="41" t="n"/>
      <c r="M4" s="41" t="n"/>
      <c r="N4" s="12" t="inlineStr">
        <is>
          <t>VOO</t>
        </is>
      </c>
      <c r="O4" s="36" t="n"/>
      <c r="P4" s="36" t="n"/>
      <c r="Q4" s="36" t="n"/>
      <c r="R4" s="36" t="n"/>
      <c r="S4" s="36" t="n"/>
      <c r="T4" s="36" t="n"/>
      <c r="U4" s="36" t="n"/>
      <c r="V4" s="13" t="inlineStr">
        <is>
          <t>SCHD</t>
        </is>
      </c>
      <c r="W4" s="40" t="n"/>
      <c r="X4" s="40" t="n"/>
      <c r="Y4" s="40" t="n"/>
      <c r="Z4" s="40" t="n"/>
      <c r="AA4" s="40" t="n"/>
      <c r="AB4" s="40" t="n"/>
      <c r="AC4" s="40" t="n"/>
      <c r="AD4" s="15" t="inlineStr">
        <is>
          <t>QLD</t>
        </is>
      </c>
      <c r="AE4" s="42" t="n"/>
      <c r="AF4" s="42" t="n"/>
      <c r="AG4" s="42" t="n"/>
      <c r="AH4" s="42" t="n"/>
      <c r="AI4" s="42" t="n"/>
      <c r="AJ4" s="42" t="n"/>
      <c r="AK4" s="42" t="n"/>
      <c r="AL4" s="6" t="inlineStr">
        <is>
          <t>포트폴리오 합계</t>
        </is>
      </c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</row>
    <row r="5" ht="30" customHeight="1">
      <c r="A5" s="43" t="n"/>
      <c r="B5" s="43" t="n"/>
      <c r="C5" s="43" t="n"/>
      <c r="D5" s="43" t="n"/>
      <c r="E5" s="43" t="n"/>
      <c r="F5" s="8" t="inlineStr">
        <is>
          <t>기초 자산</t>
        </is>
      </c>
      <c r="G5" s="8" t="inlineStr">
        <is>
          <t>신규 납입금</t>
        </is>
      </c>
      <c r="H5" s="8" t="inlineStr">
        <is>
          <t>연차별 배당률</t>
        </is>
      </c>
      <c r="I5" s="8" t="inlineStr">
        <is>
          <t>주가 상승분</t>
        </is>
      </c>
      <c r="J5" s="8" t="inlineStr">
        <is>
          <t>세후 배당금</t>
        </is>
      </c>
      <c r="K5" s="8" t="inlineStr">
        <is>
          <t>배당 재투자금</t>
        </is>
      </c>
      <c r="L5" s="8" t="inlineStr">
        <is>
          <t>현금 수령 배당</t>
        </is>
      </c>
      <c r="M5" s="8" t="inlineStr">
        <is>
          <t>기말 자산</t>
        </is>
      </c>
      <c r="N5" s="12" t="inlineStr">
        <is>
          <t>기초 자산</t>
        </is>
      </c>
      <c r="O5" s="12" t="inlineStr">
        <is>
          <t>신규 납입금</t>
        </is>
      </c>
      <c r="P5" s="12" t="inlineStr">
        <is>
          <t>연차별 배당률</t>
        </is>
      </c>
      <c r="Q5" s="12" t="inlineStr">
        <is>
          <t>주가 상승분</t>
        </is>
      </c>
      <c r="R5" s="12" t="inlineStr">
        <is>
          <t>세후 배당금</t>
        </is>
      </c>
      <c r="S5" s="12" t="inlineStr">
        <is>
          <t>배당 재투자금</t>
        </is>
      </c>
      <c r="T5" s="12" t="inlineStr">
        <is>
          <t>현금 수령 배당</t>
        </is>
      </c>
      <c r="U5" s="12" t="inlineStr">
        <is>
          <t>기말 자산</t>
        </is>
      </c>
      <c r="V5" s="13" t="inlineStr">
        <is>
          <t>기초 자산</t>
        </is>
      </c>
      <c r="W5" s="13" t="inlineStr">
        <is>
          <t>신규 납입금</t>
        </is>
      </c>
      <c r="X5" s="13" t="inlineStr">
        <is>
          <t>연차별 배당률</t>
        </is>
      </c>
      <c r="Y5" s="13" t="inlineStr">
        <is>
          <t>주가 상승분</t>
        </is>
      </c>
      <c r="Z5" s="13" t="inlineStr">
        <is>
          <t>세후 배당금</t>
        </is>
      </c>
      <c r="AA5" s="13" t="inlineStr">
        <is>
          <t>배당 재투자금</t>
        </is>
      </c>
      <c r="AB5" s="13" t="inlineStr">
        <is>
          <t>현금 수령 배당</t>
        </is>
      </c>
      <c r="AC5" s="13" t="inlineStr">
        <is>
          <t>기말 자산</t>
        </is>
      </c>
      <c r="AD5" s="15" t="inlineStr">
        <is>
          <t>기초 자산</t>
        </is>
      </c>
      <c r="AE5" s="15" t="inlineStr">
        <is>
          <t>신규 납입금</t>
        </is>
      </c>
      <c r="AF5" s="15" t="inlineStr">
        <is>
          <t>연차별 배당률</t>
        </is>
      </c>
      <c r="AG5" s="15" t="inlineStr">
        <is>
          <t>주가 상승분</t>
        </is>
      </c>
      <c r="AH5" s="15" t="inlineStr">
        <is>
          <t>세후 배당금</t>
        </is>
      </c>
      <c r="AI5" s="15" t="inlineStr">
        <is>
          <t>배당 재투자금</t>
        </is>
      </c>
      <c r="AJ5" s="15" t="inlineStr">
        <is>
          <t>현금 수령 배당</t>
        </is>
      </c>
      <c r="AK5" s="15" t="inlineStr">
        <is>
          <t>기말 자산</t>
        </is>
      </c>
      <c r="AL5" s="44" t="inlineStr">
        <is>
          <t>총 기초 자산</t>
        </is>
      </c>
      <c r="AM5" s="44" t="inlineStr">
        <is>
          <t>총 신규 납입금</t>
        </is>
      </c>
      <c r="AN5" s="44" t="inlineStr">
        <is>
          <t>총 주가 상승분</t>
        </is>
      </c>
      <c r="AO5" s="44" t="inlineStr">
        <is>
          <t>총 세후 배당금</t>
        </is>
      </c>
      <c r="AP5" s="44" t="inlineStr">
        <is>
          <t>총 배당 재투자</t>
        </is>
      </c>
      <c r="AQ5" s="44" t="inlineStr">
        <is>
          <t>총 현금 수령 배당</t>
        </is>
      </c>
      <c r="AR5" s="44" t="inlineStr">
        <is>
          <t>누적 배당 재투자</t>
        </is>
      </c>
      <c r="AS5" s="44" t="inlineStr">
        <is>
          <t>누적 현금 수령 배당</t>
        </is>
      </c>
      <c r="AT5" s="44" t="inlineStr">
        <is>
          <t>기말 총자산</t>
        </is>
      </c>
      <c r="AU5" s="44" t="inlineStr">
        <is>
          <t>월평균 배당 현금흐름</t>
        </is>
      </c>
      <c r="AV5" s="44" t="inlineStr">
        <is>
          <t>총 수익률</t>
        </is>
      </c>
    </row>
    <row r="6">
      <c r="A6" s="20" t="n">
        <v>1</v>
      </c>
      <c r="B6" s="32">
        <f>'대시보드_및_설정'!$C$11+A6</f>
        <v/>
      </c>
      <c r="C6" s="45">
        <f>'대시보드_및_설정'!$C$7*(1+'대시보드_및_설정'!$C$8)^(A6-1)</f>
        <v/>
      </c>
      <c r="D6" s="45">
        <f>C6*12</f>
        <v/>
      </c>
      <c r="E6" s="45">
        <f>'대시보드_및_설정'!$C$5+D6</f>
        <v/>
      </c>
      <c r="F6" s="45">
        <f>'대시보드_및_설정'!$C$5*'대시보드_및_설정'!$F$6</f>
        <v/>
      </c>
      <c r="G6" s="45">
        <f>$D6*'대시보드_및_설정'!$F$6</f>
        <v/>
      </c>
      <c r="H6" s="46">
        <f>'대시보드_및_설정'!$H$6*((1+'대시보드_및_설정'!$I$6)/(1+'대시보드_및_설정'!$G$6))^($A6-1)</f>
        <v/>
      </c>
      <c r="I6" s="45">
        <f>F6*'대시보드_및_설정'!$G$6+(FV((1+'대시보드_및_설정'!$G$6)^(1/12)-1,12,-$C6*'대시보드_및_설정'!$F$6,0,1)-G6)</f>
        <v/>
      </c>
      <c r="J6" s="45">
        <f>(F6*H6+G6*H6*13/24)*(1-'대시보드_및_설정'!$C$10)</f>
        <v/>
      </c>
      <c r="K6" s="45">
        <f>J6*'대시보드_및_설정'!$C$9</f>
        <v/>
      </c>
      <c r="L6" s="45">
        <f>J6-K6</f>
        <v/>
      </c>
      <c r="M6" s="45">
        <f>F6+G6+I6+K6</f>
        <v/>
      </c>
      <c r="N6" s="45">
        <f>'대시보드_및_설정'!$C$5*'대시보드_및_설정'!$F$7</f>
        <v/>
      </c>
      <c r="O6" s="45">
        <f>$D6*'대시보드_및_설정'!$F$7</f>
        <v/>
      </c>
      <c r="P6" s="46">
        <f>'대시보드_및_설정'!$H$7*((1+'대시보드_및_설정'!$I$7)/(1+'대시보드_및_설정'!$G$7))^($A6-1)</f>
        <v/>
      </c>
      <c r="Q6" s="45">
        <f>N6*'대시보드_및_설정'!$G$7+(FV((1+'대시보드_및_설정'!$G$7)^(1/12)-1,12,-$C6*'대시보드_및_설정'!$F$7,0,1)-O6)</f>
        <v/>
      </c>
      <c r="R6" s="45">
        <f>(N6*P6+O6*P6*13/24)*(1-'대시보드_및_설정'!$C$10)</f>
        <v/>
      </c>
      <c r="S6" s="45">
        <f>R6*'대시보드_및_설정'!$C$9</f>
        <v/>
      </c>
      <c r="T6" s="45">
        <f>R6-S6</f>
        <v/>
      </c>
      <c r="U6" s="45">
        <f>N6+O6+Q6+S6</f>
        <v/>
      </c>
      <c r="V6" s="45">
        <f>'대시보드_및_설정'!$C$5*'대시보드_및_설정'!$F$8</f>
        <v/>
      </c>
      <c r="W6" s="45">
        <f>$D6*'대시보드_및_설정'!$F$8</f>
        <v/>
      </c>
      <c r="X6" s="46">
        <f>'대시보드_및_설정'!$H$8*((1+'대시보드_및_설정'!$I$8)/(1+'대시보드_및_설정'!$G$8))^($A6-1)</f>
        <v/>
      </c>
      <c r="Y6" s="45">
        <f>V6*'대시보드_및_설정'!$G$8+(FV((1+'대시보드_및_설정'!$G$8)^(1/12)-1,12,-$C6*'대시보드_및_설정'!$F$8,0,1)-W6)</f>
        <v/>
      </c>
      <c r="Z6" s="45">
        <f>(V6*X6+W6*X6*13/24)*(1-'대시보드_및_설정'!$C$10)</f>
        <v/>
      </c>
      <c r="AA6" s="45">
        <f>Z6*'대시보드_및_설정'!$C$9</f>
        <v/>
      </c>
      <c r="AB6" s="45">
        <f>Z6-AA6</f>
        <v/>
      </c>
      <c r="AC6" s="45">
        <f>V6+W6+Y6+AA6</f>
        <v/>
      </c>
      <c r="AD6" s="45">
        <f>'대시보드_및_설정'!$C$5*'대시보드_및_설정'!$F$9</f>
        <v/>
      </c>
      <c r="AE6" s="45">
        <f>$D6*'대시보드_및_설정'!$F$9</f>
        <v/>
      </c>
      <c r="AF6" s="46">
        <f>'대시보드_및_설정'!$H$9*((1+'대시보드_및_설정'!$I$9)/(1+'대시보드_및_설정'!$G$9))^($A6-1)</f>
        <v/>
      </c>
      <c r="AG6" s="45">
        <f>AD6*'대시보드_및_설정'!$G$9+(FV((1+'대시보드_및_설정'!$G$9)^(1/12)-1,12,-$C6*'대시보드_및_설정'!$F$9,0,1)-AE6)</f>
        <v/>
      </c>
      <c r="AH6" s="45">
        <f>(AD6*AF6+AE6*AF6*13/24)*(1-'대시보드_및_설정'!$C$10)</f>
        <v/>
      </c>
      <c r="AI6" s="45">
        <f>AH6*'대시보드_및_설정'!$C$9</f>
        <v/>
      </c>
      <c r="AJ6" s="45">
        <f>AH6-AI6</f>
        <v/>
      </c>
      <c r="AK6" s="45">
        <f>AD6+AE6+AG6+AI6</f>
        <v/>
      </c>
      <c r="AL6" s="45">
        <f>F6+N6+V6+AD6</f>
        <v/>
      </c>
      <c r="AM6" s="45">
        <f>G6+O6+W6+AE6</f>
        <v/>
      </c>
      <c r="AN6" s="45">
        <f>I6+Q6+Y6+AG6</f>
        <v/>
      </c>
      <c r="AO6" s="45">
        <f>J6+R6+Z6+AH6</f>
        <v/>
      </c>
      <c r="AP6" s="45">
        <f>K6+S6+AA6+AI6</f>
        <v/>
      </c>
      <c r="AQ6" s="45">
        <f>L6+T6+AB6+AJ6</f>
        <v/>
      </c>
      <c r="AR6" s="45">
        <f>AP6</f>
        <v/>
      </c>
      <c r="AS6" s="45">
        <f>AQ6</f>
        <v/>
      </c>
      <c r="AT6" s="47">
        <f>M6+U6+AC6+AK6</f>
        <v/>
      </c>
      <c r="AU6" s="45">
        <f>AO6/12</f>
        <v/>
      </c>
      <c r="AV6" s="48">
        <f>IFERROR((AT6+AS6)/E6-1,0)</f>
        <v/>
      </c>
    </row>
    <row r="7">
      <c r="A7" s="20" t="n">
        <v>2</v>
      </c>
      <c r="B7" s="32">
        <f>'대시보드_및_설정'!$C$11+A7</f>
        <v/>
      </c>
      <c r="C7" s="45">
        <f>'대시보드_및_설정'!$C$7*(1+'대시보드_및_설정'!$C$8)^(A7-1)</f>
        <v/>
      </c>
      <c r="D7" s="45">
        <f>C7*12</f>
        <v/>
      </c>
      <c r="E7" s="45">
        <f>E6+D7</f>
        <v/>
      </c>
      <c r="F7" s="45">
        <f>M6</f>
        <v/>
      </c>
      <c r="G7" s="45">
        <f>$D7*'대시보드_및_설정'!$F$6</f>
        <v/>
      </c>
      <c r="H7" s="46">
        <f>'대시보드_및_설정'!$H$6*((1+'대시보드_및_설정'!$I$6)/(1+'대시보드_및_설정'!$G$6))^($A7-1)</f>
        <v/>
      </c>
      <c r="I7" s="45">
        <f>F7*'대시보드_및_설정'!$G$6+(FV((1+'대시보드_및_설정'!$G$6)^(1/12)-1,12,-$C7*'대시보드_및_설정'!$F$6,0,1)-G7)</f>
        <v/>
      </c>
      <c r="J7" s="45">
        <f>(F7*H7+G7*H7*13/24)*(1-'대시보드_및_설정'!$C$10)</f>
        <v/>
      </c>
      <c r="K7" s="45">
        <f>J7*'대시보드_및_설정'!$C$9</f>
        <v/>
      </c>
      <c r="L7" s="45">
        <f>J7-K7</f>
        <v/>
      </c>
      <c r="M7" s="45">
        <f>F7+G7+I7+K7</f>
        <v/>
      </c>
      <c r="N7" s="45">
        <f>U6</f>
        <v/>
      </c>
      <c r="O7" s="45">
        <f>$D7*'대시보드_및_설정'!$F$7</f>
        <v/>
      </c>
      <c r="P7" s="46">
        <f>'대시보드_및_설정'!$H$7*((1+'대시보드_및_설정'!$I$7)/(1+'대시보드_및_설정'!$G$7))^($A7-1)</f>
        <v/>
      </c>
      <c r="Q7" s="45">
        <f>N7*'대시보드_및_설정'!$G$7+(FV((1+'대시보드_및_설정'!$G$7)^(1/12)-1,12,-$C7*'대시보드_및_설정'!$F$7,0,1)-O7)</f>
        <v/>
      </c>
      <c r="R7" s="45">
        <f>(N7*P7+O7*P7*13/24)*(1-'대시보드_및_설정'!$C$10)</f>
        <v/>
      </c>
      <c r="S7" s="45">
        <f>R7*'대시보드_및_설정'!$C$9</f>
        <v/>
      </c>
      <c r="T7" s="45">
        <f>R7-S7</f>
        <v/>
      </c>
      <c r="U7" s="45">
        <f>N7+O7+Q7+S7</f>
        <v/>
      </c>
      <c r="V7" s="45">
        <f>AC6</f>
        <v/>
      </c>
      <c r="W7" s="45">
        <f>$D7*'대시보드_및_설정'!$F$8</f>
        <v/>
      </c>
      <c r="X7" s="46">
        <f>'대시보드_및_설정'!$H$8*((1+'대시보드_및_설정'!$I$8)/(1+'대시보드_및_설정'!$G$8))^($A7-1)</f>
        <v/>
      </c>
      <c r="Y7" s="45">
        <f>V7*'대시보드_및_설정'!$G$8+(FV((1+'대시보드_및_설정'!$G$8)^(1/12)-1,12,-$C7*'대시보드_및_설정'!$F$8,0,1)-W7)</f>
        <v/>
      </c>
      <c r="Z7" s="45">
        <f>(V7*X7+W7*X7*13/24)*(1-'대시보드_및_설정'!$C$10)</f>
        <v/>
      </c>
      <c r="AA7" s="45">
        <f>Z7*'대시보드_및_설정'!$C$9</f>
        <v/>
      </c>
      <c r="AB7" s="45">
        <f>Z7-AA7</f>
        <v/>
      </c>
      <c r="AC7" s="45">
        <f>V7+W7+Y7+AA7</f>
        <v/>
      </c>
      <c r="AD7" s="45">
        <f>AK6</f>
        <v/>
      </c>
      <c r="AE7" s="45">
        <f>$D7*'대시보드_및_설정'!$F$9</f>
        <v/>
      </c>
      <c r="AF7" s="46">
        <f>'대시보드_및_설정'!$H$9*((1+'대시보드_및_설정'!$I$9)/(1+'대시보드_및_설정'!$G$9))^($A7-1)</f>
        <v/>
      </c>
      <c r="AG7" s="45">
        <f>AD7*'대시보드_및_설정'!$G$9+(FV((1+'대시보드_및_설정'!$G$9)^(1/12)-1,12,-$C7*'대시보드_및_설정'!$F$9,0,1)-AE7)</f>
        <v/>
      </c>
      <c r="AH7" s="45">
        <f>(AD7*AF7+AE7*AF7*13/24)*(1-'대시보드_및_설정'!$C$10)</f>
        <v/>
      </c>
      <c r="AI7" s="45">
        <f>AH7*'대시보드_및_설정'!$C$9</f>
        <v/>
      </c>
      <c r="AJ7" s="45">
        <f>AH7-AI7</f>
        <v/>
      </c>
      <c r="AK7" s="45">
        <f>AD7+AE7+AG7+AI7</f>
        <v/>
      </c>
      <c r="AL7" s="45">
        <f>F7+N7+V7+AD7</f>
        <v/>
      </c>
      <c r="AM7" s="45">
        <f>G7+O7+W7+AE7</f>
        <v/>
      </c>
      <c r="AN7" s="45">
        <f>I7+Q7+Y7+AG7</f>
        <v/>
      </c>
      <c r="AO7" s="45">
        <f>J7+R7+Z7+AH7</f>
        <v/>
      </c>
      <c r="AP7" s="45">
        <f>K7+S7+AA7+AI7</f>
        <v/>
      </c>
      <c r="AQ7" s="45">
        <f>L7+T7+AB7+AJ7</f>
        <v/>
      </c>
      <c r="AR7" s="45">
        <f>AR6+AP7</f>
        <v/>
      </c>
      <c r="AS7" s="45">
        <f>AS6+AQ7</f>
        <v/>
      </c>
      <c r="AT7" s="47">
        <f>M7+U7+AC7+AK7</f>
        <v/>
      </c>
      <c r="AU7" s="45">
        <f>AO7/12</f>
        <v/>
      </c>
      <c r="AV7" s="48">
        <f>IFERROR((AT7+AS7)/E7-1,0)</f>
        <v/>
      </c>
    </row>
    <row r="8">
      <c r="A8" s="20" t="n">
        <v>3</v>
      </c>
      <c r="B8" s="32">
        <f>'대시보드_및_설정'!$C$11+A8</f>
        <v/>
      </c>
      <c r="C8" s="45">
        <f>'대시보드_및_설정'!$C$7*(1+'대시보드_및_설정'!$C$8)^(A8-1)</f>
        <v/>
      </c>
      <c r="D8" s="45">
        <f>C8*12</f>
        <v/>
      </c>
      <c r="E8" s="45">
        <f>E7+D8</f>
        <v/>
      </c>
      <c r="F8" s="45">
        <f>M7</f>
        <v/>
      </c>
      <c r="G8" s="45">
        <f>$D8*'대시보드_및_설정'!$F$6</f>
        <v/>
      </c>
      <c r="H8" s="46">
        <f>'대시보드_및_설정'!$H$6*((1+'대시보드_및_설정'!$I$6)/(1+'대시보드_및_설정'!$G$6))^($A8-1)</f>
        <v/>
      </c>
      <c r="I8" s="45">
        <f>F8*'대시보드_및_설정'!$G$6+(FV((1+'대시보드_및_설정'!$G$6)^(1/12)-1,12,-$C8*'대시보드_및_설정'!$F$6,0,1)-G8)</f>
        <v/>
      </c>
      <c r="J8" s="45">
        <f>(F8*H8+G8*H8*13/24)*(1-'대시보드_및_설정'!$C$10)</f>
        <v/>
      </c>
      <c r="K8" s="45">
        <f>J8*'대시보드_및_설정'!$C$9</f>
        <v/>
      </c>
      <c r="L8" s="45">
        <f>J8-K8</f>
        <v/>
      </c>
      <c r="M8" s="45">
        <f>F8+G8+I8+K8</f>
        <v/>
      </c>
      <c r="N8" s="45">
        <f>U7</f>
        <v/>
      </c>
      <c r="O8" s="45">
        <f>$D8*'대시보드_및_설정'!$F$7</f>
        <v/>
      </c>
      <c r="P8" s="46">
        <f>'대시보드_및_설정'!$H$7*((1+'대시보드_및_설정'!$I$7)/(1+'대시보드_및_설정'!$G$7))^($A8-1)</f>
        <v/>
      </c>
      <c r="Q8" s="45">
        <f>N8*'대시보드_및_설정'!$G$7+(FV((1+'대시보드_및_설정'!$G$7)^(1/12)-1,12,-$C8*'대시보드_및_설정'!$F$7,0,1)-O8)</f>
        <v/>
      </c>
      <c r="R8" s="45">
        <f>(N8*P8+O8*P8*13/24)*(1-'대시보드_및_설정'!$C$10)</f>
        <v/>
      </c>
      <c r="S8" s="45">
        <f>R8*'대시보드_및_설정'!$C$9</f>
        <v/>
      </c>
      <c r="T8" s="45">
        <f>R8-S8</f>
        <v/>
      </c>
      <c r="U8" s="45">
        <f>N8+O8+Q8+S8</f>
        <v/>
      </c>
      <c r="V8" s="45">
        <f>AC7</f>
        <v/>
      </c>
      <c r="W8" s="45">
        <f>$D8*'대시보드_및_설정'!$F$8</f>
        <v/>
      </c>
      <c r="X8" s="46">
        <f>'대시보드_및_설정'!$H$8*((1+'대시보드_및_설정'!$I$8)/(1+'대시보드_및_설정'!$G$8))^($A8-1)</f>
        <v/>
      </c>
      <c r="Y8" s="45">
        <f>V8*'대시보드_및_설정'!$G$8+(FV((1+'대시보드_및_설정'!$G$8)^(1/12)-1,12,-$C8*'대시보드_및_설정'!$F$8,0,1)-W8)</f>
        <v/>
      </c>
      <c r="Z8" s="45">
        <f>(V8*X8+W8*X8*13/24)*(1-'대시보드_및_설정'!$C$10)</f>
        <v/>
      </c>
      <c r="AA8" s="45">
        <f>Z8*'대시보드_및_설정'!$C$9</f>
        <v/>
      </c>
      <c r="AB8" s="45">
        <f>Z8-AA8</f>
        <v/>
      </c>
      <c r="AC8" s="45">
        <f>V8+W8+Y8+AA8</f>
        <v/>
      </c>
      <c r="AD8" s="45">
        <f>AK7</f>
        <v/>
      </c>
      <c r="AE8" s="45">
        <f>$D8*'대시보드_및_설정'!$F$9</f>
        <v/>
      </c>
      <c r="AF8" s="46">
        <f>'대시보드_및_설정'!$H$9*((1+'대시보드_및_설정'!$I$9)/(1+'대시보드_및_설정'!$G$9))^($A8-1)</f>
        <v/>
      </c>
      <c r="AG8" s="45">
        <f>AD8*'대시보드_및_설정'!$G$9+(FV((1+'대시보드_및_설정'!$G$9)^(1/12)-1,12,-$C8*'대시보드_및_설정'!$F$9,0,1)-AE8)</f>
        <v/>
      </c>
      <c r="AH8" s="45">
        <f>(AD8*AF8+AE8*AF8*13/24)*(1-'대시보드_및_설정'!$C$10)</f>
        <v/>
      </c>
      <c r="AI8" s="45">
        <f>AH8*'대시보드_및_설정'!$C$9</f>
        <v/>
      </c>
      <c r="AJ8" s="45">
        <f>AH8-AI8</f>
        <v/>
      </c>
      <c r="AK8" s="45">
        <f>AD8+AE8+AG8+AI8</f>
        <v/>
      </c>
      <c r="AL8" s="45">
        <f>F8+N8+V8+AD8</f>
        <v/>
      </c>
      <c r="AM8" s="45">
        <f>G8+O8+W8+AE8</f>
        <v/>
      </c>
      <c r="AN8" s="45">
        <f>I8+Q8+Y8+AG8</f>
        <v/>
      </c>
      <c r="AO8" s="45">
        <f>J8+R8+Z8+AH8</f>
        <v/>
      </c>
      <c r="AP8" s="45">
        <f>K8+S8+AA8+AI8</f>
        <v/>
      </c>
      <c r="AQ8" s="45">
        <f>L8+T8+AB8+AJ8</f>
        <v/>
      </c>
      <c r="AR8" s="45">
        <f>AR7+AP8</f>
        <v/>
      </c>
      <c r="AS8" s="45">
        <f>AS7+AQ8</f>
        <v/>
      </c>
      <c r="AT8" s="47">
        <f>M8+U8+AC8+AK8</f>
        <v/>
      </c>
      <c r="AU8" s="45">
        <f>AO8/12</f>
        <v/>
      </c>
      <c r="AV8" s="48">
        <f>IFERROR((AT8+AS8)/E8-1,0)</f>
        <v/>
      </c>
    </row>
    <row r="9">
      <c r="A9" s="20" t="n">
        <v>4</v>
      </c>
      <c r="B9" s="32">
        <f>'대시보드_및_설정'!$C$11+A9</f>
        <v/>
      </c>
      <c r="C9" s="45">
        <f>'대시보드_및_설정'!$C$7*(1+'대시보드_및_설정'!$C$8)^(A9-1)</f>
        <v/>
      </c>
      <c r="D9" s="45">
        <f>C9*12</f>
        <v/>
      </c>
      <c r="E9" s="45">
        <f>E8+D9</f>
        <v/>
      </c>
      <c r="F9" s="45">
        <f>M8</f>
        <v/>
      </c>
      <c r="G9" s="45">
        <f>$D9*'대시보드_및_설정'!$F$6</f>
        <v/>
      </c>
      <c r="H9" s="46">
        <f>'대시보드_및_설정'!$H$6*((1+'대시보드_및_설정'!$I$6)/(1+'대시보드_및_설정'!$G$6))^($A9-1)</f>
        <v/>
      </c>
      <c r="I9" s="45">
        <f>F9*'대시보드_및_설정'!$G$6+(FV((1+'대시보드_및_설정'!$G$6)^(1/12)-1,12,-$C9*'대시보드_및_설정'!$F$6,0,1)-G9)</f>
        <v/>
      </c>
      <c r="J9" s="45">
        <f>(F9*H9+G9*H9*13/24)*(1-'대시보드_및_설정'!$C$10)</f>
        <v/>
      </c>
      <c r="K9" s="45">
        <f>J9*'대시보드_및_설정'!$C$9</f>
        <v/>
      </c>
      <c r="L9" s="45">
        <f>J9-K9</f>
        <v/>
      </c>
      <c r="M9" s="45">
        <f>F9+G9+I9+K9</f>
        <v/>
      </c>
      <c r="N9" s="45">
        <f>U8</f>
        <v/>
      </c>
      <c r="O9" s="45">
        <f>$D9*'대시보드_및_설정'!$F$7</f>
        <v/>
      </c>
      <c r="P9" s="46">
        <f>'대시보드_및_설정'!$H$7*((1+'대시보드_및_설정'!$I$7)/(1+'대시보드_및_설정'!$G$7))^($A9-1)</f>
        <v/>
      </c>
      <c r="Q9" s="45">
        <f>N9*'대시보드_및_설정'!$G$7+(FV((1+'대시보드_및_설정'!$G$7)^(1/12)-1,12,-$C9*'대시보드_및_설정'!$F$7,0,1)-O9)</f>
        <v/>
      </c>
      <c r="R9" s="45">
        <f>(N9*P9+O9*P9*13/24)*(1-'대시보드_및_설정'!$C$10)</f>
        <v/>
      </c>
      <c r="S9" s="45">
        <f>R9*'대시보드_및_설정'!$C$9</f>
        <v/>
      </c>
      <c r="T9" s="45">
        <f>R9-S9</f>
        <v/>
      </c>
      <c r="U9" s="45">
        <f>N9+O9+Q9+S9</f>
        <v/>
      </c>
      <c r="V9" s="45">
        <f>AC8</f>
        <v/>
      </c>
      <c r="W9" s="45">
        <f>$D9*'대시보드_및_설정'!$F$8</f>
        <v/>
      </c>
      <c r="X9" s="46">
        <f>'대시보드_및_설정'!$H$8*((1+'대시보드_및_설정'!$I$8)/(1+'대시보드_및_설정'!$G$8))^($A9-1)</f>
        <v/>
      </c>
      <c r="Y9" s="45">
        <f>V9*'대시보드_및_설정'!$G$8+(FV((1+'대시보드_및_설정'!$G$8)^(1/12)-1,12,-$C9*'대시보드_및_설정'!$F$8,0,1)-W9)</f>
        <v/>
      </c>
      <c r="Z9" s="45">
        <f>(V9*X9+W9*X9*13/24)*(1-'대시보드_및_설정'!$C$10)</f>
        <v/>
      </c>
      <c r="AA9" s="45">
        <f>Z9*'대시보드_및_설정'!$C$9</f>
        <v/>
      </c>
      <c r="AB9" s="45">
        <f>Z9-AA9</f>
        <v/>
      </c>
      <c r="AC9" s="45">
        <f>V9+W9+Y9+AA9</f>
        <v/>
      </c>
      <c r="AD9" s="45">
        <f>AK8</f>
        <v/>
      </c>
      <c r="AE9" s="45">
        <f>$D9*'대시보드_및_설정'!$F$9</f>
        <v/>
      </c>
      <c r="AF9" s="46">
        <f>'대시보드_및_설정'!$H$9*((1+'대시보드_및_설정'!$I$9)/(1+'대시보드_및_설정'!$G$9))^($A9-1)</f>
        <v/>
      </c>
      <c r="AG9" s="45">
        <f>AD9*'대시보드_및_설정'!$G$9+(FV((1+'대시보드_및_설정'!$G$9)^(1/12)-1,12,-$C9*'대시보드_및_설정'!$F$9,0,1)-AE9)</f>
        <v/>
      </c>
      <c r="AH9" s="45">
        <f>(AD9*AF9+AE9*AF9*13/24)*(1-'대시보드_및_설정'!$C$10)</f>
        <v/>
      </c>
      <c r="AI9" s="45">
        <f>AH9*'대시보드_및_설정'!$C$9</f>
        <v/>
      </c>
      <c r="AJ9" s="45">
        <f>AH9-AI9</f>
        <v/>
      </c>
      <c r="AK9" s="45">
        <f>AD9+AE9+AG9+AI9</f>
        <v/>
      </c>
      <c r="AL9" s="45">
        <f>F9+N9+V9+AD9</f>
        <v/>
      </c>
      <c r="AM9" s="45">
        <f>G9+O9+W9+AE9</f>
        <v/>
      </c>
      <c r="AN9" s="45">
        <f>I9+Q9+Y9+AG9</f>
        <v/>
      </c>
      <c r="AO9" s="45">
        <f>J9+R9+Z9+AH9</f>
        <v/>
      </c>
      <c r="AP9" s="45">
        <f>K9+S9+AA9+AI9</f>
        <v/>
      </c>
      <c r="AQ9" s="45">
        <f>L9+T9+AB9+AJ9</f>
        <v/>
      </c>
      <c r="AR9" s="45">
        <f>AR8+AP9</f>
        <v/>
      </c>
      <c r="AS9" s="45">
        <f>AS8+AQ9</f>
        <v/>
      </c>
      <c r="AT9" s="47">
        <f>M9+U9+AC9+AK9</f>
        <v/>
      </c>
      <c r="AU9" s="45">
        <f>AO9/12</f>
        <v/>
      </c>
      <c r="AV9" s="48">
        <f>IFERROR((AT9+AS9)/E9-1,0)</f>
        <v/>
      </c>
    </row>
    <row r="10">
      <c r="A10" s="20" t="n">
        <v>5</v>
      </c>
      <c r="B10" s="32">
        <f>'대시보드_및_설정'!$C$11+A10</f>
        <v/>
      </c>
      <c r="C10" s="45">
        <f>'대시보드_및_설정'!$C$7*(1+'대시보드_및_설정'!$C$8)^(A10-1)</f>
        <v/>
      </c>
      <c r="D10" s="45">
        <f>C10*12</f>
        <v/>
      </c>
      <c r="E10" s="45">
        <f>E9+D10</f>
        <v/>
      </c>
      <c r="F10" s="45">
        <f>M9</f>
        <v/>
      </c>
      <c r="G10" s="45">
        <f>$D10*'대시보드_및_설정'!$F$6</f>
        <v/>
      </c>
      <c r="H10" s="46">
        <f>'대시보드_및_설정'!$H$6*((1+'대시보드_및_설정'!$I$6)/(1+'대시보드_및_설정'!$G$6))^($A10-1)</f>
        <v/>
      </c>
      <c r="I10" s="45">
        <f>F10*'대시보드_및_설정'!$G$6+(FV((1+'대시보드_및_설정'!$G$6)^(1/12)-1,12,-$C10*'대시보드_및_설정'!$F$6,0,1)-G10)</f>
        <v/>
      </c>
      <c r="J10" s="45">
        <f>(F10*H10+G10*H10*13/24)*(1-'대시보드_및_설정'!$C$10)</f>
        <v/>
      </c>
      <c r="K10" s="45">
        <f>J10*'대시보드_및_설정'!$C$9</f>
        <v/>
      </c>
      <c r="L10" s="45">
        <f>J10-K10</f>
        <v/>
      </c>
      <c r="M10" s="45">
        <f>F10+G10+I10+K10</f>
        <v/>
      </c>
      <c r="N10" s="45">
        <f>U9</f>
        <v/>
      </c>
      <c r="O10" s="45">
        <f>$D10*'대시보드_및_설정'!$F$7</f>
        <v/>
      </c>
      <c r="P10" s="46">
        <f>'대시보드_및_설정'!$H$7*((1+'대시보드_및_설정'!$I$7)/(1+'대시보드_및_설정'!$G$7))^($A10-1)</f>
        <v/>
      </c>
      <c r="Q10" s="45">
        <f>N10*'대시보드_및_설정'!$G$7+(FV((1+'대시보드_및_설정'!$G$7)^(1/12)-1,12,-$C10*'대시보드_및_설정'!$F$7,0,1)-O10)</f>
        <v/>
      </c>
      <c r="R10" s="45">
        <f>(N10*P10+O10*P10*13/24)*(1-'대시보드_및_설정'!$C$10)</f>
        <v/>
      </c>
      <c r="S10" s="45">
        <f>R10*'대시보드_및_설정'!$C$9</f>
        <v/>
      </c>
      <c r="T10" s="45">
        <f>R10-S10</f>
        <v/>
      </c>
      <c r="U10" s="45">
        <f>N10+O10+Q10+S10</f>
        <v/>
      </c>
      <c r="V10" s="45">
        <f>AC9</f>
        <v/>
      </c>
      <c r="W10" s="45">
        <f>$D10*'대시보드_및_설정'!$F$8</f>
        <v/>
      </c>
      <c r="X10" s="46">
        <f>'대시보드_및_설정'!$H$8*((1+'대시보드_및_설정'!$I$8)/(1+'대시보드_및_설정'!$G$8))^($A10-1)</f>
        <v/>
      </c>
      <c r="Y10" s="45">
        <f>V10*'대시보드_및_설정'!$G$8+(FV((1+'대시보드_및_설정'!$G$8)^(1/12)-1,12,-$C10*'대시보드_및_설정'!$F$8,0,1)-W10)</f>
        <v/>
      </c>
      <c r="Z10" s="45">
        <f>(V10*X10+W10*X10*13/24)*(1-'대시보드_및_설정'!$C$10)</f>
        <v/>
      </c>
      <c r="AA10" s="45">
        <f>Z10*'대시보드_및_설정'!$C$9</f>
        <v/>
      </c>
      <c r="AB10" s="45">
        <f>Z10-AA10</f>
        <v/>
      </c>
      <c r="AC10" s="45">
        <f>V10+W10+Y10+AA10</f>
        <v/>
      </c>
      <c r="AD10" s="45">
        <f>AK9</f>
        <v/>
      </c>
      <c r="AE10" s="45">
        <f>$D10*'대시보드_및_설정'!$F$9</f>
        <v/>
      </c>
      <c r="AF10" s="46">
        <f>'대시보드_및_설정'!$H$9*((1+'대시보드_및_설정'!$I$9)/(1+'대시보드_및_설정'!$G$9))^($A10-1)</f>
        <v/>
      </c>
      <c r="AG10" s="45">
        <f>AD10*'대시보드_및_설정'!$G$9+(FV((1+'대시보드_및_설정'!$G$9)^(1/12)-1,12,-$C10*'대시보드_및_설정'!$F$9,0,1)-AE10)</f>
        <v/>
      </c>
      <c r="AH10" s="45">
        <f>(AD10*AF10+AE10*AF10*13/24)*(1-'대시보드_및_설정'!$C$10)</f>
        <v/>
      </c>
      <c r="AI10" s="45">
        <f>AH10*'대시보드_및_설정'!$C$9</f>
        <v/>
      </c>
      <c r="AJ10" s="45">
        <f>AH10-AI10</f>
        <v/>
      </c>
      <c r="AK10" s="45">
        <f>AD10+AE10+AG10+AI10</f>
        <v/>
      </c>
      <c r="AL10" s="45">
        <f>F10+N10+V10+AD10</f>
        <v/>
      </c>
      <c r="AM10" s="45">
        <f>G10+O10+W10+AE10</f>
        <v/>
      </c>
      <c r="AN10" s="45">
        <f>I10+Q10+Y10+AG10</f>
        <v/>
      </c>
      <c r="AO10" s="45">
        <f>J10+R10+Z10+AH10</f>
        <v/>
      </c>
      <c r="AP10" s="45">
        <f>K10+S10+AA10+AI10</f>
        <v/>
      </c>
      <c r="AQ10" s="45">
        <f>L10+T10+AB10+AJ10</f>
        <v/>
      </c>
      <c r="AR10" s="45">
        <f>AR9+AP10</f>
        <v/>
      </c>
      <c r="AS10" s="45">
        <f>AS9+AQ10</f>
        <v/>
      </c>
      <c r="AT10" s="47">
        <f>M10+U10+AC10+AK10</f>
        <v/>
      </c>
      <c r="AU10" s="45">
        <f>AO10/12</f>
        <v/>
      </c>
      <c r="AV10" s="48">
        <f>IFERROR((AT10+AS10)/E10-1,0)</f>
        <v/>
      </c>
    </row>
    <row r="11">
      <c r="A11" s="20" t="n">
        <v>6</v>
      </c>
      <c r="B11" s="32">
        <f>'대시보드_및_설정'!$C$11+A11</f>
        <v/>
      </c>
      <c r="C11" s="45">
        <f>'대시보드_및_설정'!$C$7*(1+'대시보드_및_설정'!$C$8)^(A11-1)</f>
        <v/>
      </c>
      <c r="D11" s="45">
        <f>C11*12</f>
        <v/>
      </c>
      <c r="E11" s="45">
        <f>E10+D11</f>
        <v/>
      </c>
      <c r="F11" s="45">
        <f>M10</f>
        <v/>
      </c>
      <c r="G11" s="45">
        <f>$D11*'대시보드_및_설정'!$F$6</f>
        <v/>
      </c>
      <c r="H11" s="46">
        <f>'대시보드_및_설정'!$H$6*((1+'대시보드_및_설정'!$I$6)/(1+'대시보드_및_설정'!$G$6))^($A11-1)</f>
        <v/>
      </c>
      <c r="I11" s="45">
        <f>F11*'대시보드_및_설정'!$G$6+(FV((1+'대시보드_및_설정'!$G$6)^(1/12)-1,12,-$C11*'대시보드_및_설정'!$F$6,0,1)-G11)</f>
        <v/>
      </c>
      <c r="J11" s="45">
        <f>(F11*H11+G11*H11*13/24)*(1-'대시보드_및_설정'!$C$10)</f>
        <v/>
      </c>
      <c r="K11" s="45">
        <f>J11*'대시보드_및_설정'!$C$9</f>
        <v/>
      </c>
      <c r="L11" s="45">
        <f>J11-K11</f>
        <v/>
      </c>
      <c r="M11" s="45">
        <f>F11+G11+I11+K11</f>
        <v/>
      </c>
      <c r="N11" s="45">
        <f>U10</f>
        <v/>
      </c>
      <c r="O11" s="45">
        <f>$D11*'대시보드_및_설정'!$F$7</f>
        <v/>
      </c>
      <c r="P11" s="46">
        <f>'대시보드_및_설정'!$H$7*((1+'대시보드_및_설정'!$I$7)/(1+'대시보드_및_설정'!$G$7))^($A11-1)</f>
        <v/>
      </c>
      <c r="Q11" s="45">
        <f>N11*'대시보드_및_설정'!$G$7+(FV((1+'대시보드_및_설정'!$G$7)^(1/12)-1,12,-$C11*'대시보드_및_설정'!$F$7,0,1)-O11)</f>
        <v/>
      </c>
      <c r="R11" s="45">
        <f>(N11*P11+O11*P11*13/24)*(1-'대시보드_및_설정'!$C$10)</f>
        <v/>
      </c>
      <c r="S11" s="45">
        <f>R11*'대시보드_및_설정'!$C$9</f>
        <v/>
      </c>
      <c r="T11" s="45">
        <f>R11-S11</f>
        <v/>
      </c>
      <c r="U11" s="45">
        <f>N11+O11+Q11+S11</f>
        <v/>
      </c>
      <c r="V11" s="45">
        <f>AC10</f>
        <v/>
      </c>
      <c r="W11" s="45">
        <f>$D11*'대시보드_및_설정'!$F$8</f>
        <v/>
      </c>
      <c r="X11" s="46">
        <f>'대시보드_및_설정'!$H$8*((1+'대시보드_및_설정'!$I$8)/(1+'대시보드_및_설정'!$G$8))^($A11-1)</f>
        <v/>
      </c>
      <c r="Y11" s="45">
        <f>V11*'대시보드_및_설정'!$G$8+(FV((1+'대시보드_및_설정'!$G$8)^(1/12)-1,12,-$C11*'대시보드_및_설정'!$F$8,0,1)-W11)</f>
        <v/>
      </c>
      <c r="Z11" s="45">
        <f>(V11*X11+W11*X11*13/24)*(1-'대시보드_및_설정'!$C$10)</f>
        <v/>
      </c>
      <c r="AA11" s="45">
        <f>Z11*'대시보드_및_설정'!$C$9</f>
        <v/>
      </c>
      <c r="AB11" s="45">
        <f>Z11-AA11</f>
        <v/>
      </c>
      <c r="AC11" s="45">
        <f>V11+W11+Y11+AA11</f>
        <v/>
      </c>
      <c r="AD11" s="45">
        <f>AK10</f>
        <v/>
      </c>
      <c r="AE11" s="45">
        <f>$D11*'대시보드_및_설정'!$F$9</f>
        <v/>
      </c>
      <c r="AF11" s="46">
        <f>'대시보드_및_설정'!$H$9*((1+'대시보드_및_설정'!$I$9)/(1+'대시보드_및_설정'!$G$9))^($A11-1)</f>
        <v/>
      </c>
      <c r="AG11" s="45">
        <f>AD11*'대시보드_및_설정'!$G$9+(FV((1+'대시보드_및_설정'!$G$9)^(1/12)-1,12,-$C11*'대시보드_및_설정'!$F$9,0,1)-AE11)</f>
        <v/>
      </c>
      <c r="AH11" s="45">
        <f>(AD11*AF11+AE11*AF11*13/24)*(1-'대시보드_및_설정'!$C$10)</f>
        <v/>
      </c>
      <c r="AI11" s="45">
        <f>AH11*'대시보드_및_설정'!$C$9</f>
        <v/>
      </c>
      <c r="AJ11" s="45">
        <f>AH11-AI11</f>
        <v/>
      </c>
      <c r="AK11" s="45">
        <f>AD11+AE11+AG11+AI11</f>
        <v/>
      </c>
      <c r="AL11" s="45">
        <f>F11+N11+V11+AD11</f>
        <v/>
      </c>
      <c r="AM11" s="45">
        <f>G11+O11+W11+AE11</f>
        <v/>
      </c>
      <c r="AN11" s="45">
        <f>I11+Q11+Y11+AG11</f>
        <v/>
      </c>
      <c r="AO11" s="45">
        <f>J11+R11+Z11+AH11</f>
        <v/>
      </c>
      <c r="AP11" s="45">
        <f>K11+S11+AA11+AI11</f>
        <v/>
      </c>
      <c r="AQ11" s="45">
        <f>L11+T11+AB11+AJ11</f>
        <v/>
      </c>
      <c r="AR11" s="45">
        <f>AR10+AP11</f>
        <v/>
      </c>
      <c r="AS11" s="45">
        <f>AS10+AQ11</f>
        <v/>
      </c>
      <c r="AT11" s="47">
        <f>M11+U11+AC11+AK11</f>
        <v/>
      </c>
      <c r="AU11" s="45">
        <f>AO11/12</f>
        <v/>
      </c>
      <c r="AV11" s="48">
        <f>IFERROR((AT11+AS11)/E11-1,0)</f>
        <v/>
      </c>
    </row>
    <row r="12">
      <c r="A12" s="20" t="n">
        <v>7</v>
      </c>
      <c r="B12" s="32">
        <f>'대시보드_및_설정'!$C$11+A12</f>
        <v/>
      </c>
      <c r="C12" s="45">
        <f>'대시보드_및_설정'!$C$7*(1+'대시보드_및_설정'!$C$8)^(A12-1)</f>
        <v/>
      </c>
      <c r="D12" s="45">
        <f>C12*12</f>
        <v/>
      </c>
      <c r="E12" s="45">
        <f>E11+D12</f>
        <v/>
      </c>
      <c r="F12" s="45">
        <f>M11</f>
        <v/>
      </c>
      <c r="G12" s="45">
        <f>$D12*'대시보드_및_설정'!$F$6</f>
        <v/>
      </c>
      <c r="H12" s="46">
        <f>'대시보드_및_설정'!$H$6*((1+'대시보드_및_설정'!$I$6)/(1+'대시보드_및_설정'!$G$6))^($A12-1)</f>
        <v/>
      </c>
      <c r="I12" s="45">
        <f>F12*'대시보드_및_설정'!$G$6+(FV((1+'대시보드_및_설정'!$G$6)^(1/12)-1,12,-$C12*'대시보드_및_설정'!$F$6,0,1)-G12)</f>
        <v/>
      </c>
      <c r="J12" s="45">
        <f>(F12*H12+G12*H12*13/24)*(1-'대시보드_및_설정'!$C$10)</f>
        <v/>
      </c>
      <c r="K12" s="45">
        <f>J12*'대시보드_및_설정'!$C$9</f>
        <v/>
      </c>
      <c r="L12" s="45">
        <f>J12-K12</f>
        <v/>
      </c>
      <c r="M12" s="45">
        <f>F12+G12+I12+K12</f>
        <v/>
      </c>
      <c r="N12" s="45">
        <f>U11</f>
        <v/>
      </c>
      <c r="O12" s="45">
        <f>$D12*'대시보드_및_설정'!$F$7</f>
        <v/>
      </c>
      <c r="P12" s="46">
        <f>'대시보드_및_설정'!$H$7*((1+'대시보드_및_설정'!$I$7)/(1+'대시보드_및_설정'!$G$7))^($A12-1)</f>
        <v/>
      </c>
      <c r="Q12" s="45">
        <f>N12*'대시보드_및_설정'!$G$7+(FV((1+'대시보드_및_설정'!$G$7)^(1/12)-1,12,-$C12*'대시보드_및_설정'!$F$7,0,1)-O12)</f>
        <v/>
      </c>
      <c r="R12" s="45">
        <f>(N12*P12+O12*P12*13/24)*(1-'대시보드_및_설정'!$C$10)</f>
        <v/>
      </c>
      <c r="S12" s="45">
        <f>R12*'대시보드_및_설정'!$C$9</f>
        <v/>
      </c>
      <c r="T12" s="45">
        <f>R12-S12</f>
        <v/>
      </c>
      <c r="U12" s="45">
        <f>N12+O12+Q12+S12</f>
        <v/>
      </c>
      <c r="V12" s="45">
        <f>AC11</f>
        <v/>
      </c>
      <c r="W12" s="45">
        <f>$D12*'대시보드_및_설정'!$F$8</f>
        <v/>
      </c>
      <c r="X12" s="46">
        <f>'대시보드_및_설정'!$H$8*((1+'대시보드_및_설정'!$I$8)/(1+'대시보드_및_설정'!$G$8))^($A12-1)</f>
        <v/>
      </c>
      <c r="Y12" s="45">
        <f>V12*'대시보드_및_설정'!$G$8+(FV((1+'대시보드_및_설정'!$G$8)^(1/12)-1,12,-$C12*'대시보드_및_설정'!$F$8,0,1)-W12)</f>
        <v/>
      </c>
      <c r="Z12" s="45">
        <f>(V12*X12+W12*X12*13/24)*(1-'대시보드_및_설정'!$C$10)</f>
        <v/>
      </c>
      <c r="AA12" s="45">
        <f>Z12*'대시보드_및_설정'!$C$9</f>
        <v/>
      </c>
      <c r="AB12" s="45">
        <f>Z12-AA12</f>
        <v/>
      </c>
      <c r="AC12" s="45">
        <f>V12+W12+Y12+AA12</f>
        <v/>
      </c>
      <c r="AD12" s="45">
        <f>AK11</f>
        <v/>
      </c>
      <c r="AE12" s="45">
        <f>$D12*'대시보드_및_설정'!$F$9</f>
        <v/>
      </c>
      <c r="AF12" s="46">
        <f>'대시보드_및_설정'!$H$9*((1+'대시보드_및_설정'!$I$9)/(1+'대시보드_및_설정'!$G$9))^($A12-1)</f>
        <v/>
      </c>
      <c r="AG12" s="45">
        <f>AD12*'대시보드_및_설정'!$G$9+(FV((1+'대시보드_및_설정'!$G$9)^(1/12)-1,12,-$C12*'대시보드_및_설정'!$F$9,0,1)-AE12)</f>
        <v/>
      </c>
      <c r="AH12" s="45">
        <f>(AD12*AF12+AE12*AF12*13/24)*(1-'대시보드_및_설정'!$C$10)</f>
        <v/>
      </c>
      <c r="AI12" s="45">
        <f>AH12*'대시보드_및_설정'!$C$9</f>
        <v/>
      </c>
      <c r="AJ12" s="45">
        <f>AH12-AI12</f>
        <v/>
      </c>
      <c r="AK12" s="45">
        <f>AD12+AE12+AG12+AI12</f>
        <v/>
      </c>
      <c r="AL12" s="45">
        <f>F12+N12+V12+AD12</f>
        <v/>
      </c>
      <c r="AM12" s="45">
        <f>G12+O12+W12+AE12</f>
        <v/>
      </c>
      <c r="AN12" s="45">
        <f>I12+Q12+Y12+AG12</f>
        <v/>
      </c>
      <c r="AO12" s="45">
        <f>J12+R12+Z12+AH12</f>
        <v/>
      </c>
      <c r="AP12" s="45">
        <f>K12+S12+AA12+AI12</f>
        <v/>
      </c>
      <c r="AQ12" s="45">
        <f>L12+T12+AB12+AJ12</f>
        <v/>
      </c>
      <c r="AR12" s="45">
        <f>AR11+AP12</f>
        <v/>
      </c>
      <c r="AS12" s="45">
        <f>AS11+AQ12</f>
        <v/>
      </c>
      <c r="AT12" s="47">
        <f>M12+U12+AC12+AK12</f>
        <v/>
      </c>
      <c r="AU12" s="45">
        <f>AO12/12</f>
        <v/>
      </c>
      <c r="AV12" s="48">
        <f>IFERROR((AT12+AS12)/E12-1,0)</f>
        <v/>
      </c>
    </row>
    <row r="13">
      <c r="A13" s="20" t="n">
        <v>8</v>
      </c>
      <c r="B13" s="32">
        <f>'대시보드_및_설정'!$C$11+A13</f>
        <v/>
      </c>
      <c r="C13" s="45">
        <f>'대시보드_및_설정'!$C$7*(1+'대시보드_및_설정'!$C$8)^(A13-1)</f>
        <v/>
      </c>
      <c r="D13" s="45">
        <f>C13*12</f>
        <v/>
      </c>
      <c r="E13" s="45">
        <f>E12+D13</f>
        <v/>
      </c>
      <c r="F13" s="45">
        <f>M12</f>
        <v/>
      </c>
      <c r="G13" s="45">
        <f>$D13*'대시보드_및_설정'!$F$6</f>
        <v/>
      </c>
      <c r="H13" s="46">
        <f>'대시보드_및_설정'!$H$6*((1+'대시보드_및_설정'!$I$6)/(1+'대시보드_및_설정'!$G$6))^($A13-1)</f>
        <v/>
      </c>
      <c r="I13" s="45">
        <f>F13*'대시보드_및_설정'!$G$6+(FV((1+'대시보드_및_설정'!$G$6)^(1/12)-1,12,-$C13*'대시보드_및_설정'!$F$6,0,1)-G13)</f>
        <v/>
      </c>
      <c r="J13" s="45">
        <f>(F13*H13+G13*H13*13/24)*(1-'대시보드_및_설정'!$C$10)</f>
        <v/>
      </c>
      <c r="K13" s="45">
        <f>J13*'대시보드_및_설정'!$C$9</f>
        <v/>
      </c>
      <c r="L13" s="45">
        <f>J13-K13</f>
        <v/>
      </c>
      <c r="M13" s="45">
        <f>F13+G13+I13+K13</f>
        <v/>
      </c>
      <c r="N13" s="45">
        <f>U12</f>
        <v/>
      </c>
      <c r="O13" s="45">
        <f>$D13*'대시보드_및_설정'!$F$7</f>
        <v/>
      </c>
      <c r="P13" s="46">
        <f>'대시보드_및_설정'!$H$7*((1+'대시보드_및_설정'!$I$7)/(1+'대시보드_및_설정'!$G$7))^($A13-1)</f>
        <v/>
      </c>
      <c r="Q13" s="45">
        <f>N13*'대시보드_및_설정'!$G$7+(FV((1+'대시보드_및_설정'!$G$7)^(1/12)-1,12,-$C13*'대시보드_및_설정'!$F$7,0,1)-O13)</f>
        <v/>
      </c>
      <c r="R13" s="45">
        <f>(N13*P13+O13*P13*13/24)*(1-'대시보드_및_설정'!$C$10)</f>
        <v/>
      </c>
      <c r="S13" s="45">
        <f>R13*'대시보드_및_설정'!$C$9</f>
        <v/>
      </c>
      <c r="T13" s="45">
        <f>R13-S13</f>
        <v/>
      </c>
      <c r="U13" s="45">
        <f>N13+O13+Q13+S13</f>
        <v/>
      </c>
      <c r="V13" s="45">
        <f>AC12</f>
        <v/>
      </c>
      <c r="W13" s="45">
        <f>$D13*'대시보드_및_설정'!$F$8</f>
        <v/>
      </c>
      <c r="X13" s="46">
        <f>'대시보드_및_설정'!$H$8*((1+'대시보드_및_설정'!$I$8)/(1+'대시보드_및_설정'!$G$8))^($A13-1)</f>
        <v/>
      </c>
      <c r="Y13" s="45">
        <f>V13*'대시보드_및_설정'!$G$8+(FV((1+'대시보드_및_설정'!$G$8)^(1/12)-1,12,-$C13*'대시보드_및_설정'!$F$8,0,1)-W13)</f>
        <v/>
      </c>
      <c r="Z13" s="45">
        <f>(V13*X13+W13*X13*13/24)*(1-'대시보드_및_설정'!$C$10)</f>
        <v/>
      </c>
      <c r="AA13" s="45">
        <f>Z13*'대시보드_및_설정'!$C$9</f>
        <v/>
      </c>
      <c r="AB13" s="45">
        <f>Z13-AA13</f>
        <v/>
      </c>
      <c r="AC13" s="45">
        <f>V13+W13+Y13+AA13</f>
        <v/>
      </c>
      <c r="AD13" s="45">
        <f>AK12</f>
        <v/>
      </c>
      <c r="AE13" s="45">
        <f>$D13*'대시보드_및_설정'!$F$9</f>
        <v/>
      </c>
      <c r="AF13" s="46">
        <f>'대시보드_및_설정'!$H$9*((1+'대시보드_및_설정'!$I$9)/(1+'대시보드_및_설정'!$G$9))^($A13-1)</f>
        <v/>
      </c>
      <c r="AG13" s="45">
        <f>AD13*'대시보드_및_설정'!$G$9+(FV((1+'대시보드_및_설정'!$G$9)^(1/12)-1,12,-$C13*'대시보드_및_설정'!$F$9,0,1)-AE13)</f>
        <v/>
      </c>
      <c r="AH13" s="45">
        <f>(AD13*AF13+AE13*AF13*13/24)*(1-'대시보드_및_설정'!$C$10)</f>
        <v/>
      </c>
      <c r="AI13" s="45">
        <f>AH13*'대시보드_및_설정'!$C$9</f>
        <v/>
      </c>
      <c r="AJ13" s="45">
        <f>AH13-AI13</f>
        <v/>
      </c>
      <c r="AK13" s="45">
        <f>AD13+AE13+AG13+AI13</f>
        <v/>
      </c>
      <c r="AL13" s="45">
        <f>F13+N13+V13+AD13</f>
        <v/>
      </c>
      <c r="AM13" s="45">
        <f>G13+O13+W13+AE13</f>
        <v/>
      </c>
      <c r="AN13" s="45">
        <f>I13+Q13+Y13+AG13</f>
        <v/>
      </c>
      <c r="AO13" s="45">
        <f>J13+R13+Z13+AH13</f>
        <v/>
      </c>
      <c r="AP13" s="45">
        <f>K13+S13+AA13+AI13</f>
        <v/>
      </c>
      <c r="AQ13" s="45">
        <f>L13+T13+AB13+AJ13</f>
        <v/>
      </c>
      <c r="AR13" s="45">
        <f>AR12+AP13</f>
        <v/>
      </c>
      <c r="AS13" s="45">
        <f>AS12+AQ13</f>
        <v/>
      </c>
      <c r="AT13" s="47">
        <f>M13+U13+AC13+AK13</f>
        <v/>
      </c>
      <c r="AU13" s="45">
        <f>AO13/12</f>
        <v/>
      </c>
      <c r="AV13" s="48">
        <f>IFERROR((AT13+AS13)/E13-1,0)</f>
        <v/>
      </c>
    </row>
    <row r="14">
      <c r="A14" s="20" t="n">
        <v>9</v>
      </c>
      <c r="B14" s="32">
        <f>'대시보드_및_설정'!$C$11+A14</f>
        <v/>
      </c>
      <c r="C14" s="45">
        <f>'대시보드_및_설정'!$C$7*(1+'대시보드_및_설정'!$C$8)^(A14-1)</f>
        <v/>
      </c>
      <c r="D14" s="45">
        <f>C14*12</f>
        <v/>
      </c>
      <c r="E14" s="45">
        <f>E13+D14</f>
        <v/>
      </c>
      <c r="F14" s="45">
        <f>M13</f>
        <v/>
      </c>
      <c r="G14" s="45">
        <f>$D14*'대시보드_및_설정'!$F$6</f>
        <v/>
      </c>
      <c r="H14" s="46">
        <f>'대시보드_및_설정'!$H$6*((1+'대시보드_및_설정'!$I$6)/(1+'대시보드_및_설정'!$G$6))^($A14-1)</f>
        <v/>
      </c>
      <c r="I14" s="45">
        <f>F14*'대시보드_및_설정'!$G$6+(FV((1+'대시보드_및_설정'!$G$6)^(1/12)-1,12,-$C14*'대시보드_및_설정'!$F$6,0,1)-G14)</f>
        <v/>
      </c>
      <c r="J14" s="45">
        <f>(F14*H14+G14*H14*13/24)*(1-'대시보드_및_설정'!$C$10)</f>
        <v/>
      </c>
      <c r="K14" s="45">
        <f>J14*'대시보드_및_설정'!$C$9</f>
        <v/>
      </c>
      <c r="L14" s="45">
        <f>J14-K14</f>
        <v/>
      </c>
      <c r="M14" s="45">
        <f>F14+G14+I14+K14</f>
        <v/>
      </c>
      <c r="N14" s="45">
        <f>U13</f>
        <v/>
      </c>
      <c r="O14" s="45">
        <f>$D14*'대시보드_및_설정'!$F$7</f>
        <v/>
      </c>
      <c r="P14" s="46">
        <f>'대시보드_및_설정'!$H$7*((1+'대시보드_및_설정'!$I$7)/(1+'대시보드_및_설정'!$G$7))^($A14-1)</f>
        <v/>
      </c>
      <c r="Q14" s="45">
        <f>N14*'대시보드_및_설정'!$G$7+(FV((1+'대시보드_및_설정'!$G$7)^(1/12)-1,12,-$C14*'대시보드_및_설정'!$F$7,0,1)-O14)</f>
        <v/>
      </c>
      <c r="R14" s="45">
        <f>(N14*P14+O14*P14*13/24)*(1-'대시보드_및_설정'!$C$10)</f>
        <v/>
      </c>
      <c r="S14" s="45">
        <f>R14*'대시보드_및_설정'!$C$9</f>
        <v/>
      </c>
      <c r="T14" s="45">
        <f>R14-S14</f>
        <v/>
      </c>
      <c r="U14" s="45">
        <f>N14+O14+Q14+S14</f>
        <v/>
      </c>
      <c r="V14" s="45">
        <f>AC13</f>
        <v/>
      </c>
      <c r="W14" s="45">
        <f>$D14*'대시보드_및_설정'!$F$8</f>
        <v/>
      </c>
      <c r="X14" s="46">
        <f>'대시보드_및_설정'!$H$8*((1+'대시보드_및_설정'!$I$8)/(1+'대시보드_및_설정'!$G$8))^($A14-1)</f>
        <v/>
      </c>
      <c r="Y14" s="45">
        <f>V14*'대시보드_및_설정'!$G$8+(FV((1+'대시보드_및_설정'!$G$8)^(1/12)-1,12,-$C14*'대시보드_및_설정'!$F$8,0,1)-W14)</f>
        <v/>
      </c>
      <c r="Z14" s="45">
        <f>(V14*X14+W14*X14*13/24)*(1-'대시보드_및_설정'!$C$10)</f>
        <v/>
      </c>
      <c r="AA14" s="45">
        <f>Z14*'대시보드_및_설정'!$C$9</f>
        <v/>
      </c>
      <c r="AB14" s="45">
        <f>Z14-AA14</f>
        <v/>
      </c>
      <c r="AC14" s="45">
        <f>V14+W14+Y14+AA14</f>
        <v/>
      </c>
      <c r="AD14" s="45">
        <f>AK13</f>
        <v/>
      </c>
      <c r="AE14" s="45">
        <f>$D14*'대시보드_및_설정'!$F$9</f>
        <v/>
      </c>
      <c r="AF14" s="46">
        <f>'대시보드_및_설정'!$H$9*((1+'대시보드_및_설정'!$I$9)/(1+'대시보드_및_설정'!$G$9))^($A14-1)</f>
        <v/>
      </c>
      <c r="AG14" s="45">
        <f>AD14*'대시보드_및_설정'!$G$9+(FV((1+'대시보드_및_설정'!$G$9)^(1/12)-1,12,-$C14*'대시보드_및_설정'!$F$9,0,1)-AE14)</f>
        <v/>
      </c>
      <c r="AH14" s="45">
        <f>(AD14*AF14+AE14*AF14*13/24)*(1-'대시보드_및_설정'!$C$10)</f>
        <v/>
      </c>
      <c r="AI14" s="45">
        <f>AH14*'대시보드_및_설정'!$C$9</f>
        <v/>
      </c>
      <c r="AJ14" s="45">
        <f>AH14-AI14</f>
        <v/>
      </c>
      <c r="AK14" s="45">
        <f>AD14+AE14+AG14+AI14</f>
        <v/>
      </c>
      <c r="AL14" s="45">
        <f>F14+N14+V14+AD14</f>
        <v/>
      </c>
      <c r="AM14" s="45">
        <f>G14+O14+W14+AE14</f>
        <v/>
      </c>
      <c r="AN14" s="45">
        <f>I14+Q14+Y14+AG14</f>
        <v/>
      </c>
      <c r="AO14" s="45">
        <f>J14+R14+Z14+AH14</f>
        <v/>
      </c>
      <c r="AP14" s="45">
        <f>K14+S14+AA14+AI14</f>
        <v/>
      </c>
      <c r="AQ14" s="45">
        <f>L14+T14+AB14+AJ14</f>
        <v/>
      </c>
      <c r="AR14" s="45">
        <f>AR13+AP14</f>
        <v/>
      </c>
      <c r="AS14" s="45">
        <f>AS13+AQ14</f>
        <v/>
      </c>
      <c r="AT14" s="47">
        <f>M14+U14+AC14+AK14</f>
        <v/>
      </c>
      <c r="AU14" s="45">
        <f>AO14/12</f>
        <v/>
      </c>
      <c r="AV14" s="48">
        <f>IFERROR((AT14+AS14)/E14-1,0)</f>
        <v/>
      </c>
    </row>
    <row r="15">
      <c r="A15" s="20" t="n">
        <v>10</v>
      </c>
      <c r="B15" s="32">
        <f>'대시보드_및_설정'!$C$11+A15</f>
        <v/>
      </c>
      <c r="C15" s="45">
        <f>'대시보드_및_설정'!$C$7*(1+'대시보드_및_설정'!$C$8)^(A15-1)</f>
        <v/>
      </c>
      <c r="D15" s="45">
        <f>C15*12</f>
        <v/>
      </c>
      <c r="E15" s="45">
        <f>E14+D15</f>
        <v/>
      </c>
      <c r="F15" s="45">
        <f>M14</f>
        <v/>
      </c>
      <c r="G15" s="45">
        <f>$D15*'대시보드_및_설정'!$F$6</f>
        <v/>
      </c>
      <c r="H15" s="46">
        <f>'대시보드_및_설정'!$H$6*((1+'대시보드_및_설정'!$I$6)/(1+'대시보드_및_설정'!$G$6))^($A15-1)</f>
        <v/>
      </c>
      <c r="I15" s="45">
        <f>F15*'대시보드_및_설정'!$G$6+(FV((1+'대시보드_및_설정'!$G$6)^(1/12)-1,12,-$C15*'대시보드_및_설정'!$F$6,0,1)-G15)</f>
        <v/>
      </c>
      <c r="J15" s="45">
        <f>(F15*H15+G15*H15*13/24)*(1-'대시보드_및_설정'!$C$10)</f>
        <v/>
      </c>
      <c r="K15" s="45">
        <f>J15*'대시보드_및_설정'!$C$9</f>
        <v/>
      </c>
      <c r="L15" s="45">
        <f>J15-K15</f>
        <v/>
      </c>
      <c r="M15" s="45">
        <f>F15+G15+I15+K15</f>
        <v/>
      </c>
      <c r="N15" s="45">
        <f>U14</f>
        <v/>
      </c>
      <c r="O15" s="45">
        <f>$D15*'대시보드_및_설정'!$F$7</f>
        <v/>
      </c>
      <c r="P15" s="46">
        <f>'대시보드_및_설정'!$H$7*((1+'대시보드_및_설정'!$I$7)/(1+'대시보드_및_설정'!$G$7))^($A15-1)</f>
        <v/>
      </c>
      <c r="Q15" s="45">
        <f>N15*'대시보드_및_설정'!$G$7+(FV((1+'대시보드_및_설정'!$G$7)^(1/12)-1,12,-$C15*'대시보드_및_설정'!$F$7,0,1)-O15)</f>
        <v/>
      </c>
      <c r="R15" s="45">
        <f>(N15*P15+O15*P15*13/24)*(1-'대시보드_및_설정'!$C$10)</f>
        <v/>
      </c>
      <c r="S15" s="45">
        <f>R15*'대시보드_및_설정'!$C$9</f>
        <v/>
      </c>
      <c r="T15" s="45">
        <f>R15-S15</f>
        <v/>
      </c>
      <c r="U15" s="45">
        <f>N15+O15+Q15+S15</f>
        <v/>
      </c>
      <c r="V15" s="45">
        <f>AC14</f>
        <v/>
      </c>
      <c r="W15" s="45">
        <f>$D15*'대시보드_및_설정'!$F$8</f>
        <v/>
      </c>
      <c r="X15" s="46">
        <f>'대시보드_및_설정'!$H$8*((1+'대시보드_및_설정'!$I$8)/(1+'대시보드_및_설정'!$G$8))^($A15-1)</f>
        <v/>
      </c>
      <c r="Y15" s="45">
        <f>V15*'대시보드_및_설정'!$G$8+(FV((1+'대시보드_및_설정'!$G$8)^(1/12)-1,12,-$C15*'대시보드_및_설정'!$F$8,0,1)-W15)</f>
        <v/>
      </c>
      <c r="Z15" s="45">
        <f>(V15*X15+W15*X15*13/24)*(1-'대시보드_및_설정'!$C$10)</f>
        <v/>
      </c>
      <c r="AA15" s="45">
        <f>Z15*'대시보드_및_설정'!$C$9</f>
        <v/>
      </c>
      <c r="AB15" s="45">
        <f>Z15-AA15</f>
        <v/>
      </c>
      <c r="AC15" s="45">
        <f>V15+W15+Y15+AA15</f>
        <v/>
      </c>
      <c r="AD15" s="45">
        <f>AK14</f>
        <v/>
      </c>
      <c r="AE15" s="45">
        <f>$D15*'대시보드_및_설정'!$F$9</f>
        <v/>
      </c>
      <c r="AF15" s="46">
        <f>'대시보드_및_설정'!$H$9*((1+'대시보드_및_설정'!$I$9)/(1+'대시보드_및_설정'!$G$9))^($A15-1)</f>
        <v/>
      </c>
      <c r="AG15" s="45">
        <f>AD15*'대시보드_및_설정'!$G$9+(FV((1+'대시보드_및_설정'!$G$9)^(1/12)-1,12,-$C15*'대시보드_및_설정'!$F$9,0,1)-AE15)</f>
        <v/>
      </c>
      <c r="AH15" s="45">
        <f>(AD15*AF15+AE15*AF15*13/24)*(1-'대시보드_및_설정'!$C$10)</f>
        <v/>
      </c>
      <c r="AI15" s="45">
        <f>AH15*'대시보드_및_설정'!$C$9</f>
        <v/>
      </c>
      <c r="AJ15" s="45">
        <f>AH15-AI15</f>
        <v/>
      </c>
      <c r="AK15" s="45">
        <f>AD15+AE15+AG15+AI15</f>
        <v/>
      </c>
      <c r="AL15" s="45">
        <f>F15+N15+V15+AD15</f>
        <v/>
      </c>
      <c r="AM15" s="45">
        <f>G15+O15+W15+AE15</f>
        <v/>
      </c>
      <c r="AN15" s="45">
        <f>I15+Q15+Y15+AG15</f>
        <v/>
      </c>
      <c r="AO15" s="45">
        <f>J15+R15+Z15+AH15</f>
        <v/>
      </c>
      <c r="AP15" s="45">
        <f>K15+S15+AA15+AI15</f>
        <v/>
      </c>
      <c r="AQ15" s="45">
        <f>L15+T15+AB15+AJ15</f>
        <v/>
      </c>
      <c r="AR15" s="45">
        <f>AR14+AP15</f>
        <v/>
      </c>
      <c r="AS15" s="45">
        <f>AS14+AQ15</f>
        <v/>
      </c>
      <c r="AT15" s="47">
        <f>M15+U15+AC15+AK15</f>
        <v/>
      </c>
      <c r="AU15" s="45">
        <f>AO15/12</f>
        <v/>
      </c>
      <c r="AV15" s="48">
        <f>IFERROR((AT15+AS15)/E15-1,0)</f>
        <v/>
      </c>
    </row>
    <row r="16">
      <c r="A16" s="20" t="n">
        <v>11</v>
      </c>
      <c r="B16" s="32">
        <f>'대시보드_및_설정'!$C$11+A16</f>
        <v/>
      </c>
      <c r="C16" s="45">
        <f>'대시보드_및_설정'!$C$7*(1+'대시보드_및_설정'!$C$8)^(A16-1)</f>
        <v/>
      </c>
      <c r="D16" s="45">
        <f>C16*12</f>
        <v/>
      </c>
      <c r="E16" s="45">
        <f>E15+D16</f>
        <v/>
      </c>
      <c r="F16" s="45">
        <f>M15</f>
        <v/>
      </c>
      <c r="G16" s="45">
        <f>$D16*'대시보드_및_설정'!$F$6</f>
        <v/>
      </c>
      <c r="H16" s="46">
        <f>'대시보드_및_설정'!$H$6*((1+'대시보드_및_설정'!$I$6)/(1+'대시보드_및_설정'!$G$6))^($A16-1)</f>
        <v/>
      </c>
      <c r="I16" s="45">
        <f>F16*'대시보드_및_설정'!$G$6+(FV((1+'대시보드_및_설정'!$G$6)^(1/12)-1,12,-$C16*'대시보드_및_설정'!$F$6,0,1)-G16)</f>
        <v/>
      </c>
      <c r="J16" s="45">
        <f>(F16*H16+G16*H16*13/24)*(1-'대시보드_및_설정'!$C$10)</f>
        <v/>
      </c>
      <c r="K16" s="45">
        <f>J16*'대시보드_및_설정'!$C$9</f>
        <v/>
      </c>
      <c r="L16" s="45">
        <f>J16-K16</f>
        <v/>
      </c>
      <c r="M16" s="45">
        <f>F16+G16+I16+K16</f>
        <v/>
      </c>
      <c r="N16" s="45">
        <f>U15</f>
        <v/>
      </c>
      <c r="O16" s="45">
        <f>$D16*'대시보드_및_설정'!$F$7</f>
        <v/>
      </c>
      <c r="P16" s="46">
        <f>'대시보드_및_설정'!$H$7*((1+'대시보드_및_설정'!$I$7)/(1+'대시보드_및_설정'!$G$7))^($A16-1)</f>
        <v/>
      </c>
      <c r="Q16" s="45">
        <f>N16*'대시보드_및_설정'!$G$7+(FV((1+'대시보드_및_설정'!$G$7)^(1/12)-1,12,-$C16*'대시보드_및_설정'!$F$7,0,1)-O16)</f>
        <v/>
      </c>
      <c r="R16" s="45">
        <f>(N16*P16+O16*P16*13/24)*(1-'대시보드_및_설정'!$C$10)</f>
        <v/>
      </c>
      <c r="S16" s="45">
        <f>R16*'대시보드_및_설정'!$C$9</f>
        <v/>
      </c>
      <c r="T16" s="45">
        <f>R16-S16</f>
        <v/>
      </c>
      <c r="U16" s="45">
        <f>N16+O16+Q16+S16</f>
        <v/>
      </c>
      <c r="V16" s="45">
        <f>AC15</f>
        <v/>
      </c>
      <c r="W16" s="45">
        <f>$D16*'대시보드_및_설정'!$F$8</f>
        <v/>
      </c>
      <c r="X16" s="46">
        <f>'대시보드_및_설정'!$H$8*((1+'대시보드_및_설정'!$I$8)/(1+'대시보드_및_설정'!$G$8))^($A16-1)</f>
        <v/>
      </c>
      <c r="Y16" s="45">
        <f>V16*'대시보드_및_설정'!$G$8+(FV((1+'대시보드_및_설정'!$G$8)^(1/12)-1,12,-$C16*'대시보드_및_설정'!$F$8,0,1)-W16)</f>
        <v/>
      </c>
      <c r="Z16" s="45">
        <f>(V16*X16+W16*X16*13/24)*(1-'대시보드_및_설정'!$C$10)</f>
        <v/>
      </c>
      <c r="AA16" s="45">
        <f>Z16*'대시보드_및_설정'!$C$9</f>
        <v/>
      </c>
      <c r="AB16" s="45">
        <f>Z16-AA16</f>
        <v/>
      </c>
      <c r="AC16" s="45">
        <f>V16+W16+Y16+AA16</f>
        <v/>
      </c>
      <c r="AD16" s="45">
        <f>AK15</f>
        <v/>
      </c>
      <c r="AE16" s="45">
        <f>$D16*'대시보드_및_설정'!$F$9</f>
        <v/>
      </c>
      <c r="AF16" s="46">
        <f>'대시보드_및_설정'!$H$9*((1+'대시보드_및_설정'!$I$9)/(1+'대시보드_및_설정'!$G$9))^($A16-1)</f>
        <v/>
      </c>
      <c r="AG16" s="45">
        <f>AD16*'대시보드_및_설정'!$G$9+(FV((1+'대시보드_및_설정'!$G$9)^(1/12)-1,12,-$C16*'대시보드_및_설정'!$F$9,0,1)-AE16)</f>
        <v/>
      </c>
      <c r="AH16" s="45">
        <f>(AD16*AF16+AE16*AF16*13/24)*(1-'대시보드_및_설정'!$C$10)</f>
        <v/>
      </c>
      <c r="AI16" s="45">
        <f>AH16*'대시보드_및_설정'!$C$9</f>
        <v/>
      </c>
      <c r="AJ16" s="45">
        <f>AH16-AI16</f>
        <v/>
      </c>
      <c r="AK16" s="45">
        <f>AD16+AE16+AG16+AI16</f>
        <v/>
      </c>
      <c r="AL16" s="45">
        <f>F16+N16+V16+AD16</f>
        <v/>
      </c>
      <c r="AM16" s="45">
        <f>G16+O16+W16+AE16</f>
        <v/>
      </c>
      <c r="AN16" s="45">
        <f>I16+Q16+Y16+AG16</f>
        <v/>
      </c>
      <c r="AO16" s="45">
        <f>J16+R16+Z16+AH16</f>
        <v/>
      </c>
      <c r="AP16" s="45">
        <f>K16+S16+AA16+AI16</f>
        <v/>
      </c>
      <c r="AQ16" s="45">
        <f>L16+T16+AB16+AJ16</f>
        <v/>
      </c>
      <c r="AR16" s="45">
        <f>AR15+AP16</f>
        <v/>
      </c>
      <c r="AS16" s="45">
        <f>AS15+AQ16</f>
        <v/>
      </c>
      <c r="AT16" s="47">
        <f>M16+U16+AC16+AK16</f>
        <v/>
      </c>
      <c r="AU16" s="45">
        <f>AO16/12</f>
        <v/>
      </c>
      <c r="AV16" s="48">
        <f>IFERROR((AT16+AS16)/E16-1,0)</f>
        <v/>
      </c>
    </row>
    <row r="17">
      <c r="A17" s="20" t="n">
        <v>12</v>
      </c>
      <c r="B17" s="32">
        <f>'대시보드_및_설정'!$C$11+A17</f>
        <v/>
      </c>
      <c r="C17" s="45">
        <f>'대시보드_및_설정'!$C$7*(1+'대시보드_및_설정'!$C$8)^(A17-1)</f>
        <v/>
      </c>
      <c r="D17" s="45">
        <f>C17*12</f>
        <v/>
      </c>
      <c r="E17" s="45">
        <f>E16+D17</f>
        <v/>
      </c>
      <c r="F17" s="45">
        <f>M16</f>
        <v/>
      </c>
      <c r="G17" s="45">
        <f>$D17*'대시보드_및_설정'!$F$6</f>
        <v/>
      </c>
      <c r="H17" s="46">
        <f>'대시보드_및_설정'!$H$6*((1+'대시보드_및_설정'!$I$6)/(1+'대시보드_및_설정'!$G$6))^($A17-1)</f>
        <v/>
      </c>
      <c r="I17" s="45">
        <f>F17*'대시보드_및_설정'!$G$6+(FV((1+'대시보드_및_설정'!$G$6)^(1/12)-1,12,-$C17*'대시보드_및_설정'!$F$6,0,1)-G17)</f>
        <v/>
      </c>
      <c r="J17" s="45">
        <f>(F17*H17+G17*H17*13/24)*(1-'대시보드_및_설정'!$C$10)</f>
        <v/>
      </c>
      <c r="K17" s="45">
        <f>J17*'대시보드_및_설정'!$C$9</f>
        <v/>
      </c>
      <c r="L17" s="45">
        <f>J17-K17</f>
        <v/>
      </c>
      <c r="M17" s="45">
        <f>F17+G17+I17+K17</f>
        <v/>
      </c>
      <c r="N17" s="45">
        <f>U16</f>
        <v/>
      </c>
      <c r="O17" s="45">
        <f>$D17*'대시보드_및_설정'!$F$7</f>
        <v/>
      </c>
      <c r="P17" s="46">
        <f>'대시보드_및_설정'!$H$7*((1+'대시보드_및_설정'!$I$7)/(1+'대시보드_및_설정'!$G$7))^($A17-1)</f>
        <v/>
      </c>
      <c r="Q17" s="45">
        <f>N17*'대시보드_및_설정'!$G$7+(FV((1+'대시보드_및_설정'!$G$7)^(1/12)-1,12,-$C17*'대시보드_및_설정'!$F$7,0,1)-O17)</f>
        <v/>
      </c>
      <c r="R17" s="45">
        <f>(N17*P17+O17*P17*13/24)*(1-'대시보드_및_설정'!$C$10)</f>
        <v/>
      </c>
      <c r="S17" s="45">
        <f>R17*'대시보드_및_설정'!$C$9</f>
        <v/>
      </c>
      <c r="T17" s="45">
        <f>R17-S17</f>
        <v/>
      </c>
      <c r="U17" s="45">
        <f>N17+O17+Q17+S17</f>
        <v/>
      </c>
      <c r="V17" s="45">
        <f>AC16</f>
        <v/>
      </c>
      <c r="W17" s="45">
        <f>$D17*'대시보드_및_설정'!$F$8</f>
        <v/>
      </c>
      <c r="X17" s="46">
        <f>'대시보드_및_설정'!$H$8*((1+'대시보드_및_설정'!$I$8)/(1+'대시보드_및_설정'!$G$8))^($A17-1)</f>
        <v/>
      </c>
      <c r="Y17" s="45">
        <f>V17*'대시보드_및_설정'!$G$8+(FV((1+'대시보드_및_설정'!$G$8)^(1/12)-1,12,-$C17*'대시보드_및_설정'!$F$8,0,1)-W17)</f>
        <v/>
      </c>
      <c r="Z17" s="45">
        <f>(V17*X17+W17*X17*13/24)*(1-'대시보드_및_설정'!$C$10)</f>
        <v/>
      </c>
      <c r="AA17" s="45">
        <f>Z17*'대시보드_및_설정'!$C$9</f>
        <v/>
      </c>
      <c r="AB17" s="45">
        <f>Z17-AA17</f>
        <v/>
      </c>
      <c r="AC17" s="45">
        <f>V17+W17+Y17+AA17</f>
        <v/>
      </c>
      <c r="AD17" s="45">
        <f>AK16</f>
        <v/>
      </c>
      <c r="AE17" s="45">
        <f>$D17*'대시보드_및_설정'!$F$9</f>
        <v/>
      </c>
      <c r="AF17" s="46">
        <f>'대시보드_및_설정'!$H$9*((1+'대시보드_및_설정'!$I$9)/(1+'대시보드_및_설정'!$G$9))^($A17-1)</f>
        <v/>
      </c>
      <c r="AG17" s="45">
        <f>AD17*'대시보드_및_설정'!$G$9+(FV((1+'대시보드_및_설정'!$G$9)^(1/12)-1,12,-$C17*'대시보드_및_설정'!$F$9,0,1)-AE17)</f>
        <v/>
      </c>
      <c r="AH17" s="45">
        <f>(AD17*AF17+AE17*AF17*13/24)*(1-'대시보드_및_설정'!$C$10)</f>
        <v/>
      </c>
      <c r="AI17" s="45">
        <f>AH17*'대시보드_및_설정'!$C$9</f>
        <v/>
      </c>
      <c r="AJ17" s="45">
        <f>AH17-AI17</f>
        <v/>
      </c>
      <c r="AK17" s="45">
        <f>AD17+AE17+AG17+AI17</f>
        <v/>
      </c>
      <c r="AL17" s="45">
        <f>F17+N17+V17+AD17</f>
        <v/>
      </c>
      <c r="AM17" s="45">
        <f>G17+O17+W17+AE17</f>
        <v/>
      </c>
      <c r="AN17" s="45">
        <f>I17+Q17+Y17+AG17</f>
        <v/>
      </c>
      <c r="AO17" s="45">
        <f>J17+R17+Z17+AH17</f>
        <v/>
      </c>
      <c r="AP17" s="45">
        <f>K17+S17+AA17+AI17</f>
        <v/>
      </c>
      <c r="AQ17" s="45">
        <f>L17+T17+AB17+AJ17</f>
        <v/>
      </c>
      <c r="AR17" s="45">
        <f>AR16+AP17</f>
        <v/>
      </c>
      <c r="AS17" s="45">
        <f>AS16+AQ17</f>
        <v/>
      </c>
      <c r="AT17" s="47">
        <f>M17+U17+AC17+AK17</f>
        <v/>
      </c>
      <c r="AU17" s="45">
        <f>AO17/12</f>
        <v/>
      </c>
      <c r="AV17" s="48">
        <f>IFERROR((AT17+AS17)/E17-1,0)</f>
        <v/>
      </c>
    </row>
    <row r="18">
      <c r="A18" s="20" t="n">
        <v>13</v>
      </c>
      <c r="B18" s="32">
        <f>'대시보드_및_설정'!$C$11+A18</f>
        <v/>
      </c>
      <c r="C18" s="45">
        <f>'대시보드_및_설정'!$C$7*(1+'대시보드_및_설정'!$C$8)^(A18-1)</f>
        <v/>
      </c>
      <c r="D18" s="45">
        <f>C18*12</f>
        <v/>
      </c>
      <c r="E18" s="45">
        <f>E17+D18</f>
        <v/>
      </c>
      <c r="F18" s="45">
        <f>M17</f>
        <v/>
      </c>
      <c r="G18" s="45">
        <f>$D18*'대시보드_및_설정'!$F$6</f>
        <v/>
      </c>
      <c r="H18" s="46">
        <f>'대시보드_및_설정'!$H$6*((1+'대시보드_및_설정'!$I$6)/(1+'대시보드_및_설정'!$G$6))^($A18-1)</f>
        <v/>
      </c>
      <c r="I18" s="45">
        <f>F18*'대시보드_및_설정'!$G$6+(FV((1+'대시보드_및_설정'!$G$6)^(1/12)-1,12,-$C18*'대시보드_및_설정'!$F$6,0,1)-G18)</f>
        <v/>
      </c>
      <c r="J18" s="45">
        <f>(F18*H18+G18*H18*13/24)*(1-'대시보드_및_설정'!$C$10)</f>
        <v/>
      </c>
      <c r="K18" s="45">
        <f>J18*'대시보드_및_설정'!$C$9</f>
        <v/>
      </c>
      <c r="L18" s="45">
        <f>J18-K18</f>
        <v/>
      </c>
      <c r="M18" s="45">
        <f>F18+G18+I18+K18</f>
        <v/>
      </c>
      <c r="N18" s="45">
        <f>U17</f>
        <v/>
      </c>
      <c r="O18" s="45">
        <f>$D18*'대시보드_및_설정'!$F$7</f>
        <v/>
      </c>
      <c r="P18" s="46">
        <f>'대시보드_및_설정'!$H$7*((1+'대시보드_및_설정'!$I$7)/(1+'대시보드_및_설정'!$G$7))^($A18-1)</f>
        <v/>
      </c>
      <c r="Q18" s="45">
        <f>N18*'대시보드_및_설정'!$G$7+(FV((1+'대시보드_및_설정'!$G$7)^(1/12)-1,12,-$C18*'대시보드_및_설정'!$F$7,0,1)-O18)</f>
        <v/>
      </c>
      <c r="R18" s="45">
        <f>(N18*P18+O18*P18*13/24)*(1-'대시보드_및_설정'!$C$10)</f>
        <v/>
      </c>
      <c r="S18" s="45">
        <f>R18*'대시보드_및_설정'!$C$9</f>
        <v/>
      </c>
      <c r="T18" s="45">
        <f>R18-S18</f>
        <v/>
      </c>
      <c r="U18" s="45">
        <f>N18+O18+Q18+S18</f>
        <v/>
      </c>
      <c r="V18" s="45">
        <f>AC17</f>
        <v/>
      </c>
      <c r="W18" s="45">
        <f>$D18*'대시보드_및_설정'!$F$8</f>
        <v/>
      </c>
      <c r="X18" s="46">
        <f>'대시보드_및_설정'!$H$8*((1+'대시보드_및_설정'!$I$8)/(1+'대시보드_및_설정'!$G$8))^($A18-1)</f>
        <v/>
      </c>
      <c r="Y18" s="45">
        <f>V18*'대시보드_및_설정'!$G$8+(FV((1+'대시보드_및_설정'!$G$8)^(1/12)-1,12,-$C18*'대시보드_및_설정'!$F$8,0,1)-W18)</f>
        <v/>
      </c>
      <c r="Z18" s="45">
        <f>(V18*X18+W18*X18*13/24)*(1-'대시보드_및_설정'!$C$10)</f>
        <v/>
      </c>
      <c r="AA18" s="45">
        <f>Z18*'대시보드_및_설정'!$C$9</f>
        <v/>
      </c>
      <c r="AB18" s="45">
        <f>Z18-AA18</f>
        <v/>
      </c>
      <c r="AC18" s="45">
        <f>V18+W18+Y18+AA18</f>
        <v/>
      </c>
      <c r="AD18" s="45">
        <f>AK17</f>
        <v/>
      </c>
      <c r="AE18" s="45">
        <f>$D18*'대시보드_및_설정'!$F$9</f>
        <v/>
      </c>
      <c r="AF18" s="46">
        <f>'대시보드_및_설정'!$H$9*((1+'대시보드_및_설정'!$I$9)/(1+'대시보드_및_설정'!$G$9))^($A18-1)</f>
        <v/>
      </c>
      <c r="AG18" s="45">
        <f>AD18*'대시보드_및_설정'!$G$9+(FV((1+'대시보드_및_설정'!$G$9)^(1/12)-1,12,-$C18*'대시보드_및_설정'!$F$9,0,1)-AE18)</f>
        <v/>
      </c>
      <c r="AH18" s="45">
        <f>(AD18*AF18+AE18*AF18*13/24)*(1-'대시보드_및_설정'!$C$10)</f>
        <v/>
      </c>
      <c r="AI18" s="45">
        <f>AH18*'대시보드_및_설정'!$C$9</f>
        <v/>
      </c>
      <c r="AJ18" s="45">
        <f>AH18-AI18</f>
        <v/>
      </c>
      <c r="AK18" s="45">
        <f>AD18+AE18+AG18+AI18</f>
        <v/>
      </c>
      <c r="AL18" s="45">
        <f>F18+N18+V18+AD18</f>
        <v/>
      </c>
      <c r="AM18" s="45">
        <f>G18+O18+W18+AE18</f>
        <v/>
      </c>
      <c r="AN18" s="45">
        <f>I18+Q18+Y18+AG18</f>
        <v/>
      </c>
      <c r="AO18" s="45">
        <f>J18+R18+Z18+AH18</f>
        <v/>
      </c>
      <c r="AP18" s="45">
        <f>K18+S18+AA18+AI18</f>
        <v/>
      </c>
      <c r="AQ18" s="45">
        <f>L18+T18+AB18+AJ18</f>
        <v/>
      </c>
      <c r="AR18" s="45">
        <f>AR17+AP18</f>
        <v/>
      </c>
      <c r="AS18" s="45">
        <f>AS17+AQ18</f>
        <v/>
      </c>
      <c r="AT18" s="47">
        <f>M18+U18+AC18+AK18</f>
        <v/>
      </c>
      <c r="AU18" s="45">
        <f>AO18/12</f>
        <v/>
      </c>
      <c r="AV18" s="48">
        <f>IFERROR((AT18+AS18)/E18-1,0)</f>
        <v/>
      </c>
    </row>
    <row r="19">
      <c r="A19" s="20" t="n">
        <v>14</v>
      </c>
      <c r="B19" s="32">
        <f>'대시보드_및_설정'!$C$11+A19</f>
        <v/>
      </c>
      <c r="C19" s="45">
        <f>'대시보드_및_설정'!$C$7*(1+'대시보드_및_설정'!$C$8)^(A19-1)</f>
        <v/>
      </c>
      <c r="D19" s="45">
        <f>C19*12</f>
        <v/>
      </c>
      <c r="E19" s="45">
        <f>E18+D19</f>
        <v/>
      </c>
      <c r="F19" s="45">
        <f>M18</f>
        <v/>
      </c>
      <c r="G19" s="45">
        <f>$D19*'대시보드_및_설정'!$F$6</f>
        <v/>
      </c>
      <c r="H19" s="46">
        <f>'대시보드_및_설정'!$H$6*((1+'대시보드_및_설정'!$I$6)/(1+'대시보드_및_설정'!$G$6))^($A19-1)</f>
        <v/>
      </c>
      <c r="I19" s="45">
        <f>F19*'대시보드_및_설정'!$G$6+(FV((1+'대시보드_및_설정'!$G$6)^(1/12)-1,12,-$C19*'대시보드_및_설정'!$F$6,0,1)-G19)</f>
        <v/>
      </c>
      <c r="J19" s="45">
        <f>(F19*H19+G19*H19*13/24)*(1-'대시보드_및_설정'!$C$10)</f>
        <v/>
      </c>
      <c r="K19" s="45">
        <f>J19*'대시보드_및_설정'!$C$9</f>
        <v/>
      </c>
      <c r="L19" s="45">
        <f>J19-K19</f>
        <v/>
      </c>
      <c r="M19" s="45">
        <f>F19+G19+I19+K19</f>
        <v/>
      </c>
      <c r="N19" s="45">
        <f>U18</f>
        <v/>
      </c>
      <c r="O19" s="45">
        <f>$D19*'대시보드_및_설정'!$F$7</f>
        <v/>
      </c>
      <c r="P19" s="46">
        <f>'대시보드_및_설정'!$H$7*((1+'대시보드_및_설정'!$I$7)/(1+'대시보드_및_설정'!$G$7))^($A19-1)</f>
        <v/>
      </c>
      <c r="Q19" s="45">
        <f>N19*'대시보드_및_설정'!$G$7+(FV((1+'대시보드_및_설정'!$G$7)^(1/12)-1,12,-$C19*'대시보드_및_설정'!$F$7,0,1)-O19)</f>
        <v/>
      </c>
      <c r="R19" s="45">
        <f>(N19*P19+O19*P19*13/24)*(1-'대시보드_및_설정'!$C$10)</f>
        <v/>
      </c>
      <c r="S19" s="45">
        <f>R19*'대시보드_및_설정'!$C$9</f>
        <v/>
      </c>
      <c r="T19" s="45">
        <f>R19-S19</f>
        <v/>
      </c>
      <c r="U19" s="45">
        <f>N19+O19+Q19+S19</f>
        <v/>
      </c>
      <c r="V19" s="45">
        <f>AC18</f>
        <v/>
      </c>
      <c r="W19" s="45">
        <f>$D19*'대시보드_및_설정'!$F$8</f>
        <v/>
      </c>
      <c r="X19" s="46">
        <f>'대시보드_및_설정'!$H$8*((1+'대시보드_및_설정'!$I$8)/(1+'대시보드_및_설정'!$G$8))^($A19-1)</f>
        <v/>
      </c>
      <c r="Y19" s="45">
        <f>V19*'대시보드_및_설정'!$G$8+(FV((1+'대시보드_및_설정'!$G$8)^(1/12)-1,12,-$C19*'대시보드_및_설정'!$F$8,0,1)-W19)</f>
        <v/>
      </c>
      <c r="Z19" s="45">
        <f>(V19*X19+W19*X19*13/24)*(1-'대시보드_및_설정'!$C$10)</f>
        <v/>
      </c>
      <c r="AA19" s="45">
        <f>Z19*'대시보드_및_설정'!$C$9</f>
        <v/>
      </c>
      <c r="AB19" s="45">
        <f>Z19-AA19</f>
        <v/>
      </c>
      <c r="AC19" s="45">
        <f>V19+W19+Y19+AA19</f>
        <v/>
      </c>
      <c r="AD19" s="45">
        <f>AK18</f>
        <v/>
      </c>
      <c r="AE19" s="45">
        <f>$D19*'대시보드_및_설정'!$F$9</f>
        <v/>
      </c>
      <c r="AF19" s="46">
        <f>'대시보드_및_설정'!$H$9*((1+'대시보드_및_설정'!$I$9)/(1+'대시보드_및_설정'!$G$9))^($A19-1)</f>
        <v/>
      </c>
      <c r="AG19" s="45">
        <f>AD19*'대시보드_및_설정'!$G$9+(FV((1+'대시보드_및_설정'!$G$9)^(1/12)-1,12,-$C19*'대시보드_및_설정'!$F$9,0,1)-AE19)</f>
        <v/>
      </c>
      <c r="AH19" s="45">
        <f>(AD19*AF19+AE19*AF19*13/24)*(1-'대시보드_및_설정'!$C$10)</f>
        <v/>
      </c>
      <c r="AI19" s="45">
        <f>AH19*'대시보드_및_설정'!$C$9</f>
        <v/>
      </c>
      <c r="AJ19" s="45">
        <f>AH19-AI19</f>
        <v/>
      </c>
      <c r="AK19" s="45">
        <f>AD19+AE19+AG19+AI19</f>
        <v/>
      </c>
      <c r="AL19" s="45">
        <f>F19+N19+V19+AD19</f>
        <v/>
      </c>
      <c r="AM19" s="45">
        <f>G19+O19+W19+AE19</f>
        <v/>
      </c>
      <c r="AN19" s="45">
        <f>I19+Q19+Y19+AG19</f>
        <v/>
      </c>
      <c r="AO19" s="45">
        <f>J19+R19+Z19+AH19</f>
        <v/>
      </c>
      <c r="AP19" s="45">
        <f>K19+S19+AA19+AI19</f>
        <v/>
      </c>
      <c r="AQ19" s="45">
        <f>L19+T19+AB19+AJ19</f>
        <v/>
      </c>
      <c r="AR19" s="45">
        <f>AR18+AP19</f>
        <v/>
      </c>
      <c r="AS19" s="45">
        <f>AS18+AQ19</f>
        <v/>
      </c>
      <c r="AT19" s="47">
        <f>M19+U19+AC19+AK19</f>
        <v/>
      </c>
      <c r="AU19" s="45">
        <f>AO19/12</f>
        <v/>
      </c>
      <c r="AV19" s="48">
        <f>IFERROR((AT19+AS19)/E19-1,0)</f>
        <v/>
      </c>
    </row>
    <row r="20">
      <c r="A20" s="20" t="n">
        <v>15</v>
      </c>
      <c r="B20" s="32">
        <f>'대시보드_및_설정'!$C$11+A20</f>
        <v/>
      </c>
      <c r="C20" s="45">
        <f>'대시보드_및_설정'!$C$7*(1+'대시보드_및_설정'!$C$8)^(A20-1)</f>
        <v/>
      </c>
      <c r="D20" s="45">
        <f>C20*12</f>
        <v/>
      </c>
      <c r="E20" s="45">
        <f>E19+D20</f>
        <v/>
      </c>
      <c r="F20" s="45">
        <f>M19</f>
        <v/>
      </c>
      <c r="G20" s="45">
        <f>$D20*'대시보드_및_설정'!$F$6</f>
        <v/>
      </c>
      <c r="H20" s="46">
        <f>'대시보드_및_설정'!$H$6*((1+'대시보드_및_설정'!$I$6)/(1+'대시보드_및_설정'!$G$6))^($A20-1)</f>
        <v/>
      </c>
      <c r="I20" s="45">
        <f>F20*'대시보드_및_설정'!$G$6+(FV((1+'대시보드_및_설정'!$G$6)^(1/12)-1,12,-$C20*'대시보드_및_설정'!$F$6,0,1)-G20)</f>
        <v/>
      </c>
      <c r="J20" s="45">
        <f>(F20*H20+G20*H20*13/24)*(1-'대시보드_및_설정'!$C$10)</f>
        <v/>
      </c>
      <c r="K20" s="45">
        <f>J20*'대시보드_및_설정'!$C$9</f>
        <v/>
      </c>
      <c r="L20" s="45">
        <f>J20-K20</f>
        <v/>
      </c>
      <c r="M20" s="45">
        <f>F20+G20+I20+K20</f>
        <v/>
      </c>
      <c r="N20" s="45">
        <f>U19</f>
        <v/>
      </c>
      <c r="O20" s="45">
        <f>$D20*'대시보드_및_설정'!$F$7</f>
        <v/>
      </c>
      <c r="P20" s="46">
        <f>'대시보드_및_설정'!$H$7*((1+'대시보드_및_설정'!$I$7)/(1+'대시보드_및_설정'!$G$7))^($A20-1)</f>
        <v/>
      </c>
      <c r="Q20" s="45">
        <f>N20*'대시보드_및_설정'!$G$7+(FV((1+'대시보드_및_설정'!$G$7)^(1/12)-1,12,-$C20*'대시보드_및_설정'!$F$7,0,1)-O20)</f>
        <v/>
      </c>
      <c r="R20" s="45">
        <f>(N20*P20+O20*P20*13/24)*(1-'대시보드_및_설정'!$C$10)</f>
        <v/>
      </c>
      <c r="S20" s="45">
        <f>R20*'대시보드_및_설정'!$C$9</f>
        <v/>
      </c>
      <c r="T20" s="45">
        <f>R20-S20</f>
        <v/>
      </c>
      <c r="U20" s="45">
        <f>N20+O20+Q20+S20</f>
        <v/>
      </c>
      <c r="V20" s="45">
        <f>AC19</f>
        <v/>
      </c>
      <c r="W20" s="45">
        <f>$D20*'대시보드_및_설정'!$F$8</f>
        <v/>
      </c>
      <c r="X20" s="46">
        <f>'대시보드_및_설정'!$H$8*((1+'대시보드_및_설정'!$I$8)/(1+'대시보드_및_설정'!$G$8))^($A20-1)</f>
        <v/>
      </c>
      <c r="Y20" s="45">
        <f>V20*'대시보드_및_설정'!$G$8+(FV((1+'대시보드_및_설정'!$G$8)^(1/12)-1,12,-$C20*'대시보드_및_설정'!$F$8,0,1)-W20)</f>
        <v/>
      </c>
      <c r="Z20" s="45">
        <f>(V20*X20+W20*X20*13/24)*(1-'대시보드_및_설정'!$C$10)</f>
        <v/>
      </c>
      <c r="AA20" s="45">
        <f>Z20*'대시보드_및_설정'!$C$9</f>
        <v/>
      </c>
      <c r="AB20" s="45">
        <f>Z20-AA20</f>
        <v/>
      </c>
      <c r="AC20" s="45">
        <f>V20+W20+Y20+AA20</f>
        <v/>
      </c>
      <c r="AD20" s="45">
        <f>AK19</f>
        <v/>
      </c>
      <c r="AE20" s="45">
        <f>$D20*'대시보드_및_설정'!$F$9</f>
        <v/>
      </c>
      <c r="AF20" s="46">
        <f>'대시보드_및_설정'!$H$9*((1+'대시보드_및_설정'!$I$9)/(1+'대시보드_및_설정'!$G$9))^($A20-1)</f>
        <v/>
      </c>
      <c r="AG20" s="45">
        <f>AD20*'대시보드_및_설정'!$G$9+(FV((1+'대시보드_및_설정'!$G$9)^(1/12)-1,12,-$C20*'대시보드_및_설정'!$F$9,0,1)-AE20)</f>
        <v/>
      </c>
      <c r="AH20" s="45">
        <f>(AD20*AF20+AE20*AF20*13/24)*(1-'대시보드_및_설정'!$C$10)</f>
        <v/>
      </c>
      <c r="AI20" s="45">
        <f>AH20*'대시보드_및_설정'!$C$9</f>
        <v/>
      </c>
      <c r="AJ20" s="45">
        <f>AH20-AI20</f>
        <v/>
      </c>
      <c r="AK20" s="45">
        <f>AD20+AE20+AG20+AI20</f>
        <v/>
      </c>
      <c r="AL20" s="45">
        <f>F20+N20+V20+AD20</f>
        <v/>
      </c>
      <c r="AM20" s="45">
        <f>G20+O20+W20+AE20</f>
        <v/>
      </c>
      <c r="AN20" s="45">
        <f>I20+Q20+Y20+AG20</f>
        <v/>
      </c>
      <c r="AO20" s="45">
        <f>J20+R20+Z20+AH20</f>
        <v/>
      </c>
      <c r="AP20" s="45">
        <f>K20+S20+AA20+AI20</f>
        <v/>
      </c>
      <c r="AQ20" s="45">
        <f>L20+T20+AB20+AJ20</f>
        <v/>
      </c>
      <c r="AR20" s="45">
        <f>AR19+AP20</f>
        <v/>
      </c>
      <c r="AS20" s="45">
        <f>AS19+AQ20</f>
        <v/>
      </c>
      <c r="AT20" s="47">
        <f>M20+U20+AC20+AK20</f>
        <v/>
      </c>
      <c r="AU20" s="45">
        <f>AO20/12</f>
        <v/>
      </c>
      <c r="AV20" s="48">
        <f>IFERROR((AT20+AS20)/E20-1,0)</f>
        <v/>
      </c>
    </row>
    <row r="21">
      <c r="A21" s="20" t="n">
        <v>16</v>
      </c>
      <c r="B21" s="32">
        <f>'대시보드_및_설정'!$C$11+A21</f>
        <v/>
      </c>
      <c r="C21" s="45">
        <f>'대시보드_및_설정'!$C$7*(1+'대시보드_및_설정'!$C$8)^(A21-1)</f>
        <v/>
      </c>
      <c r="D21" s="45">
        <f>C21*12</f>
        <v/>
      </c>
      <c r="E21" s="45">
        <f>E20+D21</f>
        <v/>
      </c>
      <c r="F21" s="45">
        <f>M20</f>
        <v/>
      </c>
      <c r="G21" s="45">
        <f>$D21*'대시보드_및_설정'!$F$6</f>
        <v/>
      </c>
      <c r="H21" s="46">
        <f>'대시보드_및_설정'!$H$6*((1+'대시보드_및_설정'!$I$6)/(1+'대시보드_및_설정'!$G$6))^($A21-1)</f>
        <v/>
      </c>
      <c r="I21" s="45">
        <f>F21*'대시보드_및_설정'!$G$6+(FV((1+'대시보드_및_설정'!$G$6)^(1/12)-1,12,-$C21*'대시보드_및_설정'!$F$6,0,1)-G21)</f>
        <v/>
      </c>
      <c r="J21" s="45">
        <f>(F21*H21+G21*H21*13/24)*(1-'대시보드_및_설정'!$C$10)</f>
        <v/>
      </c>
      <c r="K21" s="45">
        <f>J21*'대시보드_및_설정'!$C$9</f>
        <v/>
      </c>
      <c r="L21" s="45">
        <f>J21-K21</f>
        <v/>
      </c>
      <c r="M21" s="45">
        <f>F21+G21+I21+K21</f>
        <v/>
      </c>
      <c r="N21" s="45">
        <f>U20</f>
        <v/>
      </c>
      <c r="O21" s="45">
        <f>$D21*'대시보드_및_설정'!$F$7</f>
        <v/>
      </c>
      <c r="P21" s="46">
        <f>'대시보드_및_설정'!$H$7*((1+'대시보드_및_설정'!$I$7)/(1+'대시보드_및_설정'!$G$7))^($A21-1)</f>
        <v/>
      </c>
      <c r="Q21" s="45">
        <f>N21*'대시보드_및_설정'!$G$7+(FV((1+'대시보드_및_설정'!$G$7)^(1/12)-1,12,-$C21*'대시보드_및_설정'!$F$7,0,1)-O21)</f>
        <v/>
      </c>
      <c r="R21" s="45">
        <f>(N21*P21+O21*P21*13/24)*(1-'대시보드_및_설정'!$C$10)</f>
        <v/>
      </c>
      <c r="S21" s="45">
        <f>R21*'대시보드_및_설정'!$C$9</f>
        <v/>
      </c>
      <c r="T21" s="45">
        <f>R21-S21</f>
        <v/>
      </c>
      <c r="U21" s="45">
        <f>N21+O21+Q21+S21</f>
        <v/>
      </c>
      <c r="V21" s="45">
        <f>AC20</f>
        <v/>
      </c>
      <c r="W21" s="45">
        <f>$D21*'대시보드_및_설정'!$F$8</f>
        <v/>
      </c>
      <c r="X21" s="46">
        <f>'대시보드_및_설정'!$H$8*((1+'대시보드_및_설정'!$I$8)/(1+'대시보드_및_설정'!$G$8))^($A21-1)</f>
        <v/>
      </c>
      <c r="Y21" s="45">
        <f>V21*'대시보드_및_설정'!$G$8+(FV((1+'대시보드_및_설정'!$G$8)^(1/12)-1,12,-$C21*'대시보드_및_설정'!$F$8,0,1)-W21)</f>
        <v/>
      </c>
      <c r="Z21" s="45">
        <f>(V21*X21+W21*X21*13/24)*(1-'대시보드_및_설정'!$C$10)</f>
        <v/>
      </c>
      <c r="AA21" s="45">
        <f>Z21*'대시보드_및_설정'!$C$9</f>
        <v/>
      </c>
      <c r="AB21" s="45">
        <f>Z21-AA21</f>
        <v/>
      </c>
      <c r="AC21" s="45">
        <f>V21+W21+Y21+AA21</f>
        <v/>
      </c>
      <c r="AD21" s="45">
        <f>AK20</f>
        <v/>
      </c>
      <c r="AE21" s="45">
        <f>$D21*'대시보드_및_설정'!$F$9</f>
        <v/>
      </c>
      <c r="AF21" s="46">
        <f>'대시보드_및_설정'!$H$9*((1+'대시보드_및_설정'!$I$9)/(1+'대시보드_및_설정'!$G$9))^($A21-1)</f>
        <v/>
      </c>
      <c r="AG21" s="45">
        <f>AD21*'대시보드_및_설정'!$G$9+(FV((1+'대시보드_및_설정'!$G$9)^(1/12)-1,12,-$C21*'대시보드_및_설정'!$F$9,0,1)-AE21)</f>
        <v/>
      </c>
      <c r="AH21" s="45">
        <f>(AD21*AF21+AE21*AF21*13/24)*(1-'대시보드_및_설정'!$C$10)</f>
        <v/>
      </c>
      <c r="AI21" s="45">
        <f>AH21*'대시보드_및_설정'!$C$9</f>
        <v/>
      </c>
      <c r="AJ21" s="45">
        <f>AH21-AI21</f>
        <v/>
      </c>
      <c r="AK21" s="45">
        <f>AD21+AE21+AG21+AI21</f>
        <v/>
      </c>
      <c r="AL21" s="45">
        <f>F21+N21+V21+AD21</f>
        <v/>
      </c>
      <c r="AM21" s="45">
        <f>G21+O21+W21+AE21</f>
        <v/>
      </c>
      <c r="AN21" s="45">
        <f>I21+Q21+Y21+AG21</f>
        <v/>
      </c>
      <c r="AO21" s="45">
        <f>J21+R21+Z21+AH21</f>
        <v/>
      </c>
      <c r="AP21" s="45">
        <f>K21+S21+AA21+AI21</f>
        <v/>
      </c>
      <c r="AQ21" s="45">
        <f>L21+T21+AB21+AJ21</f>
        <v/>
      </c>
      <c r="AR21" s="45">
        <f>AR20+AP21</f>
        <v/>
      </c>
      <c r="AS21" s="45">
        <f>AS20+AQ21</f>
        <v/>
      </c>
      <c r="AT21" s="47">
        <f>M21+U21+AC21+AK21</f>
        <v/>
      </c>
      <c r="AU21" s="45">
        <f>AO21/12</f>
        <v/>
      </c>
      <c r="AV21" s="48">
        <f>IFERROR((AT21+AS21)/E21-1,0)</f>
        <v/>
      </c>
    </row>
    <row r="22">
      <c r="A22" s="20" t="n">
        <v>17</v>
      </c>
      <c r="B22" s="32">
        <f>'대시보드_및_설정'!$C$11+A22</f>
        <v/>
      </c>
      <c r="C22" s="45">
        <f>'대시보드_및_설정'!$C$7*(1+'대시보드_및_설정'!$C$8)^(A22-1)</f>
        <v/>
      </c>
      <c r="D22" s="45">
        <f>C22*12</f>
        <v/>
      </c>
      <c r="E22" s="45">
        <f>E21+D22</f>
        <v/>
      </c>
      <c r="F22" s="45">
        <f>M21</f>
        <v/>
      </c>
      <c r="G22" s="45">
        <f>$D22*'대시보드_및_설정'!$F$6</f>
        <v/>
      </c>
      <c r="H22" s="46">
        <f>'대시보드_및_설정'!$H$6*((1+'대시보드_및_설정'!$I$6)/(1+'대시보드_및_설정'!$G$6))^($A22-1)</f>
        <v/>
      </c>
      <c r="I22" s="45">
        <f>F22*'대시보드_및_설정'!$G$6+(FV((1+'대시보드_및_설정'!$G$6)^(1/12)-1,12,-$C22*'대시보드_및_설정'!$F$6,0,1)-G22)</f>
        <v/>
      </c>
      <c r="J22" s="45">
        <f>(F22*H22+G22*H22*13/24)*(1-'대시보드_및_설정'!$C$10)</f>
        <v/>
      </c>
      <c r="K22" s="45">
        <f>J22*'대시보드_및_설정'!$C$9</f>
        <v/>
      </c>
      <c r="L22" s="45">
        <f>J22-K22</f>
        <v/>
      </c>
      <c r="M22" s="45">
        <f>F22+G22+I22+K22</f>
        <v/>
      </c>
      <c r="N22" s="45">
        <f>U21</f>
        <v/>
      </c>
      <c r="O22" s="45">
        <f>$D22*'대시보드_및_설정'!$F$7</f>
        <v/>
      </c>
      <c r="P22" s="46">
        <f>'대시보드_및_설정'!$H$7*((1+'대시보드_및_설정'!$I$7)/(1+'대시보드_및_설정'!$G$7))^($A22-1)</f>
        <v/>
      </c>
      <c r="Q22" s="45">
        <f>N22*'대시보드_및_설정'!$G$7+(FV((1+'대시보드_및_설정'!$G$7)^(1/12)-1,12,-$C22*'대시보드_및_설정'!$F$7,0,1)-O22)</f>
        <v/>
      </c>
      <c r="R22" s="45">
        <f>(N22*P22+O22*P22*13/24)*(1-'대시보드_및_설정'!$C$10)</f>
        <v/>
      </c>
      <c r="S22" s="45">
        <f>R22*'대시보드_및_설정'!$C$9</f>
        <v/>
      </c>
      <c r="T22" s="45">
        <f>R22-S22</f>
        <v/>
      </c>
      <c r="U22" s="45">
        <f>N22+O22+Q22+S22</f>
        <v/>
      </c>
      <c r="V22" s="45">
        <f>AC21</f>
        <v/>
      </c>
      <c r="W22" s="45">
        <f>$D22*'대시보드_및_설정'!$F$8</f>
        <v/>
      </c>
      <c r="X22" s="46">
        <f>'대시보드_및_설정'!$H$8*((1+'대시보드_및_설정'!$I$8)/(1+'대시보드_및_설정'!$G$8))^($A22-1)</f>
        <v/>
      </c>
      <c r="Y22" s="45">
        <f>V22*'대시보드_및_설정'!$G$8+(FV((1+'대시보드_및_설정'!$G$8)^(1/12)-1,12,-$C22*'대시보드_및_설정'!$F$8,0,1)-W22)</f>
        <v/>
      </c>
      <c r="Z22" s="45">
        <f>(V22*X22+W22*X22*13/24)*(1-'대시보드_및_설정'!$C$10)</f>
        <v/>
      </c>
      <c r="AA22" s="45">
        <f>Z22*'대시보드_및_설정'!$C$9</f>
        <v/>
      </c>
      <c r="AB22" s="45">
        <f>Z22-AA22</f>
        <v/>
      </c>
      <c r="AC22" s="45">
        <f>V22+W22+Y22+AA22</f>
        <v/>
      </c>
      <c r="AD22" s="45">
        <f>AK21</f>
        <v/>
      </c>
      <c r="AE22" s="45">
        <f>$D22*'대시보드_및_설정'!$F$9</f>
        <v/>
      </c>
      <c r="AF22" s="46">
        <f>'대시보드_및_설정'!$H$9*((1+'대시보드_및_설정'!$I$9)/(1+'대시보드_및_설정'!$G$9))^($A22-1)</f>
        <v/>
      </c>
      <c r="AG22" s="45">
        <f>AD22*'대시보드_및_설정'!$G$9+(FV((1+'대시보드_및_설정'!$G$9)^(1/12)-1,12,-$C22*'대시보드_및_설정'!$F$9,0,1)-AE22)</f>
        <v/>
      </c>
      <c r="AH22" s="45">
        <f>(AD22*AF22+AE22*AF22*13/24)*(1-'대시보드_및_설정'!$C$10)</f>
        <v/>
      </c>
      <c r="AI22" s="45">
        <f>AH22*'대시보드_및_설정'!$C$9</f>
        <v/>
      </c>
      <c r="AJ22" s="45">
        <f>AH22-AI22</f>
        <v/>
      </c>
      <c r="AK22" s="45">
        <f>AD22+AE22+AG22+AI22</f>
        <v/>
      </c>
      <c r="AL22" s="45">
        <f>F22+N22+V22+AD22</f>
        <v/>
      </c>
      <c r="AM22" s="45">
        <f>G22+O22+W22+AE22</f>
        <v/>
      </c>
      <c r="AN22" s="45">
        <f>I22+Q22+Y22+AG22</f>
        <v/>
      </c>
      <c r="AO22" s="45">
        <f>J22+R22+Z22+AH22</f>
        <v/>
      </c>
      <c r="AP22" s="45">
        <f>K22+S22+AA22+AI22</f>
        <v/>
      </c>
      <c r="AQ22" s="45">
        <f>L22+T22+AB22+AJ22</f>
        <v/>
      </c>
      <c r="AR22" s="45">
        <f>AR21+AP22</f>
        <v/>
      </c>
      <c r="AS22" s="45">
        <f>AS21+AQ22</f>
        <v/>
      </c>
      <c r="AT22" s="47">
        <f>M22+U22+AC22+AK22</f>
        <v/>
      </c>
      <c r="AU22" s="45">
        <f>AO22/12</f>
        <v/>
      </c>
      <c r="AV22" s="48">
        <f>IFERROR((AT22+AS22)/E22-1,0)</f>
        <v/>
      </c>
    </row>
    <row r="23">
      <c r="A23" s="20" t="n">
        <v>18</v>
      </c>
      <c r="B23" s="32">
        <f>'대시보드_및_설정'!$C$11+A23</f>
        <v/>
      </c>
      <c r="C23" s="45">
        <f>'대시보드_및_설정'!$C$7*(1+'대시보드_및_설정'!$C$8)^(A23-1)</f>
        <v/>
      </c>
      <c r="D23" s="45">
        <f>C23*12</f>
        <v/>
      </c>
      <c r="E23" s="45">
        <f>E22+D23</f>
        <v/>
      </c>
      <c r="F23" s="45">
        <f>M22</f>
        <v/>
      </c>
      <c r="G23" s="45">
        <f>$D23*'대시보드_및_설정'!$F$6</f>
        <v/>
      </c>
      <c r="H23" s="46">
        <f>'대시보드_및_설정'!$H$6*((1+'대시보드_및_설정'!$I$6)/(1+'대시보드_및_설정'!$G$6))^($A23-1)</f>
        <v/>
      </c>
      <c r="I23" s="45">
        <f>F23*'대시보드_및_설정'!$G$6+(FV((1+'대시보드_및_설정'!$G$6)^(1/12)-1,12,-$C23*'대시보드_및_설정'!$F$6,0,1)-G23)</f>
        <v/>
      </c>
      <c r="J23" s="45">
        <f>(F23*H23+G23*H23*13/24)*(1-'대시보드_및_설정'!$C$10)</f>
        <v/>
      </c>
      <c r="K23" s="45">
        <f>J23*'대시보드_및_설정'!$C$9</f>
        <v/>
      </c>
      <c r="L23" s="45">
        <f>J23-K23</f>
        <v/>
      </c>
      <c r="M23" s="45">
        <f>F23+G23+I23+K23</f>
        <v/>
      </c>
      <c r="N23" s="45">
        <f>U22</f>
        <v/>
      </c>
      <c r="O23" s="45">
        <f>$D23*'대시보드_및_설정'!$F$7</f>
        <v/>
      </c>
      <c r="P23" s="46">
        <f>'대시보드_및_설정'!$H$7*((1+'대시보드_및_설정'!$I$7)/(1+'대시보드_및_설정'!$G$7))^($A23-1)</f>
        <v/>
      </c>
      <c r="Q23" s="45">
        <f>N23*'대시보드_및_설정'!$G$7+(FV((1+'대시보드_및_설정'!$G$7)^(1/12)-1,12,-$C23*'대시보드_및_설정'!$F$7,0,1)-O23)</f>
        <v/>
      </c>
      <c r="R23" s="45">
        <f>(N23*P23+O23*P23*13/24)*(1-'대시보드_및_설정'!$C$10)</f>
        <v/>
      </c>
      <c r="S23" s="45">
        <f>R23*'대시보드_및_설정'!$C$9</f>
        <v/>
      </c>
      <c r="T23" s="45">
        <f>R23-S23</f>
        <v/>
      </c>
      <c r="U23" s="45">
        <f>N23+O23+Q23+S23</f>
        <v/>
      </c>
      <c r="V23" s="45">
        <f>AC22</f>
        <v/>
      </c>
      <c r="W23" s="45">
        <f>$D23*'대시보드_및_설정'!$F$8</f>
        <v/>
      </c>
      <c r="X23" s="46">
        <f>'대시보드_및_설정'!$H$8*((1+'대시보드_및_설정'!$I$8)/(1+'대시보드_및_설정'!$G$8))^($A23-1)</f>
        <v/>
      </c>
      <c r="Y23" s="45">
        <f>V23*'대시보드_및_설정'!$G$8+(FV((1+'대시보드_및_설정'!$G$8)^(1/12)-1,12,-$C23*'대시보드_및_설정'!$F$8,0,1)-W23)</f>
        <v/>
      </c>
      <c r="Z23" s="45">
        <f>(V23*X23+W23*X23*13/24)*(1-'대시보드_및_설정'!$C$10)</f>
        <v/>
      </c>
      <c r="AA23" s="45">
        <f>Z23*'대시보드_및_설정'!$C$9</f>
        <v/>
      </c>
      <c r="AB23" s="45">
        <f>Z23-AA23</f>
        <v/>
      </c>
      <c r="AC23" s="45">
        <f>V23+W23+Y23+AA23</f>
        <v/>
      </c>
      <c r="AD23" s="45">
        <f>AK22</f>
        <v/>
      </c>
      <c r="AE23" s="45">
        <f>$D23*'대시보드_및_설정'!$F$9</f>
        <v/>
      </c>
      <c r="AF23" s="46">
        <f>'대시보드_및_설정'!$H$9*((1+'대시보드_및_설정'!$I$9)/(1+'대시보드_및_설정'!$G$9))^($A23-1)</f>
        <v/>
      </c>
      <c r="AG23" s="45">
        <f>AD23*'대시보드_및_설정'!$G$9+(FV((1+'대시보드_및_설정'!$G$9)^(1/12)-1,12,-$C23*'대시보드_및_설정'!$F$9,0,1)-AE23)</f>
        <v/>
      </c>
      <c r="AH23" s="45">
        <f>(AD23*AF23+AE23*AF23*13/24)*(1-'대시보드_및_설정'!$C$10)</f>
        <v/>
      </c>
      <c r="AI23" s="45">
        <f>AH23*'대시보드_및_설정'!$C$9</f>
        <v/>
      </c>
      <c r="AJ23" s="45">
        <f>AH23-AI23</f>
        <v/>
      </c>
      <c r="AK23" s="45">
        <f>AD23+AE23+AG23+AI23</f>
        <v/>
      </c>
      <c r="AL23" s="45">
        <f>F23+N23+V23+AD23</f>
        <v/>
      </c>
      <c r="AM23" s="45">
        <f>G23+O23+W23+AE23</f>
        <v/>
      </c>
      <c r="AN23" s="45">
        <f>I23+Q23+Y23+AG23</f>
        <v/>
      </c>
      <c r="AO23" s="45">
        <f>J23+R23+Z23+AH23</f>
        <v/>
      </c>
      <c r="AP23" s="45">
        <f>K23+S23+AA23+AI23</f>
        <v/>
      </c>
      <c r="AQ23" s="45">
        <f>L23+T23+AB23+AJ23</f>
        <v/>
      </c>
      <c r="AR23" s="45">
        <f>AR22+AP23</f>
        <v/>
      </c>
      <c r="AS23" s="45">
        <f>AS22+AQ23</f>
        <v/>
      </c>
      <c r="AT23" s="47">
        <f>M23+U23+AC23+AK23</f>
        <v/>
      </c>
      <c r="AU23" s="45">
        <f>AO23/12</f>
        <v/>
      </c>
      <c r="AV23" s="48">
        <f>IFERROR((AT23+AS23)/E23-1,0)</f>
        <v/>
      </c>
    </row>
    <row r="24">
      <c r="A24" s="20" t="n">
        <v>19</v>
      </c>
      <c r="B24" s="32">
        <f>'대시보드_및_설정'!$C$11+A24</f>
        <v/>
      </c>
      <c r="C24" s="45">
        <f>'대시보드_및_설정'!$C$7*(1+'대시보드_및_설정'!$C$8)^(A24-1)</f>
        <v/>
      </c>
      <c r="D24" s="45">
        <f>C24*12</f>
        <v/>
      </c>
      <c r="E24" s="45">
        <f>E23+D24</f>
        <v/>
      </c>
      <c r="F24" s="45">
        <f>M23</f>
        <v/>
      </c>
      <c r="G24" s="45">
        <f>$D24*'대시보드_및_설정'!$F$6</f>
        <v/>
      </c>
      <c r="H24" s="46">
        <f>'대시보드_및_설정'!$H$6*((1+'대시보드_및_설정'!$I$6)/(1+'대시보드_및_설정'!$G$6))^($A24-1)</f>
        <v/>
      </c>
      <c r="I24" s="45">
        <f>F24*'대시보드_및_설정'!$G$6+(FV((1+'대시보드_및_설정'!$G$6)^(1/12)-1,12,-$C24*'대시보드_및_설정'!$F$6,0,1)-G24)</f>
        <v/>
      </c>
      <c r="J24" s="45">
        <f>(F24*H24+G24*H24*13/24)*(1-'대시보드_및_설정'!$C$10)</f>
        <v/>
      </c>
      <c r="K24" s="45">
        <f>J24*'대시보드_및_설정'!$C$9</f>
        <v/>
      </c>
      <c r="L24" s="45">
        <f>J24-K24</f>
        <v/>
      </c>
      <c r="M24" s="45">
        <f>F24+G24+I24+K24</f>
        <v/>
      </c>
      <c r="N24" s="45">
        <f>U23</f>
        <v/>
      </c>
      <c r="O24" s="45">
        <f>$D24*'대시보드_및_설정'!$F$7</f>
        <v/>
      </c>
      <c r="P24" s="46">
        <f>'대시보드_및_설정'!$H$7*((1+'대시보드_및_설정'!$I$7)/(1+'대시보드_및_설정'!$G$7))^($A24-1)</f>
        <v/>
      </c>
      <c r="Q24" s="45">
        <f>N24*'대시보드_및_설정'!$G$7+(FV((1+'대시보드_및_설정'!$G$7)^(1/12)-1,12,-$C24*'대시보드_및_설정'!$F$7,0,1)-O24)</f>
        <v/>
      </c>
      <c r="R24" s="45">
        <f>(N24*P24+O24*P24*13/24)*(1-'대시보드_및_설정'!$C$10)</f>
        <v/>
      </c>
      <c r="S24" s="45">
        <f>R24*'대시보드_및_설정'!$C$9</f>
        <v/>
      </c>
      <c r="T24" s="45">
        <f>R24-S24</f>
        <v/>
      </c>
      <c r="U24" s="45">
        <f>N24+O24+Q24+S24</f>
        <v/>
      </c>
      <c r="V24" s="45">
        <f>AC23</f>
        <v/>
      </c>
      <c r="W24" s="45">
        <f>$D24*'대시보드_및_설정'!$F$8</f>
        <v/>
      </c>
      <c r="X24" s="46">
        <f>'대시보드_및_설정'!$H$8*((1+'대시보드_및_설정'!$I$8)/(1+'대시보드_및_설정'!$G$8))^($A24-1)</f>
        <v/>
      </c>
      <c r="Y24" s="45">
        <f>V24*'대시보드_및_설정'!$G$8+(FV((1+'대시보드_및_설정'!$G$8)^(1/12)-1,12,-$C24*'대시보드_및_설정'!$F$8,0,1)-W24)</f>
        <v/>
      </c>
      <c r="Z24" s="45">
        <f>(V24*X24+W24*X24*13/24)*(1-'대시보드_및_설정'!$C$10)</f>
        <v/>
      </c>
      <c r="AA24" s="45">
        <f>Z24*'대시보드_및_설정'!$C$9</f>
        <v/>
      </c>
      <c r="AB24" s="45">
        <f>Z24-AA24</f>
        <v/>
      </c>
      <c r="AC24" s="45">
        <f>V24+W24+Y24+AA24</f>
        <v/>
      </c>
      <c r="AD24" s="45">
        <f>AK23</f>
        <v/>
      </c>
      <c r="AE24" s="45">
        <f>$D24*'대시보드_및_설정'!$F$9</f>
        <v/>
      </c>
      <c r="AF24" s="46">
        <f>'대시보드_및_설정'!$H$9*((1+'대시보드_및_설정'!$I$9)/(1+'대시보드_및_설정'!$G$9))^($A24-1)</f>
        <v/>
      </c>
      <c r="AG24" s="45">
        <f>AD24*'대시보드_및_설정'!$G$9+(FV((1+'대시보드_및_설정'!$G$9)^(1/12)-1,12,-$C24*'대시보드_및_설정'!$F$9,0,1)-AE24)</f>
        <v/>
      </c>
      <c r="AH24" s="45">
        <f>(AD24*AF24+AE24*AF24*13/24)*(1-'대시보드_및_설정'!$C$10)</f>
        <v/>
      </c>
      <c r="AI24" s="45">
        <f>AH24*'대시보드_및_설정'!$C$9</f>
        <v/>
      </c>
      <c r="AJ24" s="45">
        <f>AH24-AI24</f>
        <v/>
      </c>
      <c r="AK24" s="45">
        <f>AD24+AE24+AG24+AI24</f>
        <v/>
      </c>
      <c r="AL24" s="45">
        <f>F24+N24+V24+AD24</f>
        <v/>
      </c>
      <c r="AM24" s="45">
        <f>G24+O24+W24+AE24</f>
        <v/>
      </c>
      <c r="AN24" s="45">
        <f>I24+Q24+Y24+AG24</f>
        <v/>
      </c>
      <c r="AO24" s="45">
        <f>J24+R24+Z24+AH24</f>
        <v/>
      </c>
      <c r="AP24" s="45">
        <f>K24+S24+AA24+AI24</f>
        <v/>
      </c>
      <c r="AQ24" s="45">
        <f>L24+T24+AB24+AJ24</f>
        <v/>
      </c>
      <c r="AR24" s="45">
        <f>AR23+AP24</f>
        <v/>
      </c>
      <c r="AS24" s="45">
        <f>AS23+AQ24</f>
        <v/>
      </c>
      <c r="AT24" s="47">
        <f>M24+U24+AC24+AK24</f>
        <v/>
      </c>
      <c r="AU24" s="45">
        <f>AO24/12</f>
        <v/>
      </c>
      <c r="AV24" s="48">
        <f>IFERROR((AT24+AS24)/E24-1,0)</f>
        <v/>
      </c>
    </row>
    <row r="25">
      <c r="A25" s="20" t="n">
        <v>20</v>
      </c>
      <c r="B25" s="32">
        <f>'대시보드_및_설정'!$C$11+A25</f>
        <v/>
      </c>
      <c r="C25" s="45">
        <f>'대시보드_및_설정'!$C$7*(1+'대시보드_및_설정'!$C$8)^(A25-1)</f>
        <v/>
      </c>
      <c r="D25" s="45">
        <f>C25*12</f>
        <v/>
      </c>
      <c r="E25" s="45">
        <f>E24+D25</f>
        <v/>
      </c>
      <c r="F25" s="45">
        <f>M24</f>
        <v/>
      </c>
      <c r="G25" s="45">
        <f>$D25*'대시보드_및_설정'!$F$6</f>
        <v/>
      </c>
      <c r="H25" s="46">
        <f>'대시보드_및_설정'!$H$6*((1+'대시보드_및_설정'!$I$6)/(1+'대시보드_및_설정'!$G$6))^($A25-1)</f>
        <v/>
      </c>
      <c r="I25" s="45">
        <f>F25*'대시보드_및_설정'!$G$6+(FV((1+'대시보드_및_설정'!$G$6)^(1/12)-1,12,-$C25*'대시보드_및_설정'!$F$6,0,1)-G25)</f>
        <v/>
      </c>
      <c r="J25" s="45">
        <f>(F25*H25+G25*H25*13/24)*(1-'대시보드_및_설정'!$C$10)</f>
        <v/>
      </c>
      <c r="K25" s="45">
        <f>J25*'대시보드_및_설정'!$C$9</f>
        <v/>
      </c>
      <c r="L25" s="45">
        <f>J25-K25</f>
        <v/>
      </c>
      <c r="M25" s="45">
        <f>F25+G25+I25+K25</f>
        <v/>
      </c>
      <c r="N25" s="45">
        <f>U24</f>
        <v/>
      </c>
      <c r="O25" s="45">
        <f>$D25*'대시보드_및_설정'!$F$7</f>
        <v/>
      </c>
      <c r="P25" s="46">
        <f>'대시보드_및_설정'!$H$7*((1+'대시보드_및_설정'!$I$7)/(1+'대시보드_및_설정'!$G$7))^($A25-1)</f>
        <v/>
      </c>
      <c r="Q25" s="45">
        <f>N25*'대시보드_및_설정'!$G$7+(FV((1+'대시보드_및_설정'!$G$7)^(1/12)-1,12,-$C25*'대시보드_및_설정'!$F$7,0,1)-O25)</f>
        <v/>
      </c>
      <c r="R25" s="45">
        <f>(N25*P25+O25*P25*13/24)*(1-'대시보드_및_설정'!$C$10)</f>
        <v/>
      </c>
      <c r="S25" s="45">
        <f>R25*'대시보드_및_설정'!$C$9</f>
        <v/>
      </c>
      <c r="T25" s="45">
        <f>R25-S25</f>
        <v/>
      </c>
      <c r="U25" s="45">
        <f>N25+O25+Q25+S25</f>
        <v/>
      </c>
      <c r="V25" s="45">
        <f>AC24</f>
        <v/>
      </c>
      <c r="W25" s="45">
        <f>$D25*'대시보드_및_설정'!$F$8</f>
        <v/>
      </c>
      <c r="X25" s="46">
        <f>'대시보드_및_설정'!$H$8*((1+'대시보드_및_설정'!$I$8)/(1+'대시보드_및_설정'!$G$8))^($A25-1)</f>
        <v/>
      </c>
      <c r="Y25" s="45">
        <f>V25*'대시보드_및_설정'!$G$8+(FV((1+'대시보드_및_설정'!$G$8)^(1/12)-1,12,-$C25*'대시보드_및_설정'!$F$8,0,1)-W25)</f>
        <v/>
      </c>
      <c r="Z25" s="45">
        <f>(V25*X25+W25*X25*13/24)*(1-'대시보드_및_설정'!$C$10)</f>
        <v/>
      </c>
      <c r="AA25" s="45">
        <f>Z25*'대시보드_및_설정'!$C$9</f>
        <v/>
      </c>
      <c r="AB25" s="45">
        <f>Z25-AA25</f>
        <v/>
      </c>
      <c r="AC25" s="45">
        <f>V25+W25+Y25+AA25</f>
        <v/>
      </c>
      <c r="AD25" s="45">
        <f>AK24</f>
        <v/>
      </c>
      <c r="AE25" s="45">
        <f>$D25*'대시보드_및_설정'!$F$9</f>
        <v/>
      </c>
      <c r="AF25" s="46">
        <f>'대시보드_및_설정'!$H$9*((1+'대시보드_및_설정'!$I$9)/(1+'대시보드_및_설정'!$G$9))^($A25-1)</f>
        <v/>
      </c>
      <c r="AG25" s="45">
        <f>AD25*'대시보드_및_설정'!$G$9+(FV((1+'대시보드_및_설정'!$G$9)^(1/12)-1,12,-$C25*'대시보드_및_설정'!$F$9,0,1)-AE25)</f>
        <v/>
      </c>
      <c r="AH25" s="45">
        <f>(AD25*AF25+AE25*AF25*13/24)*(1-'대시보드_및_설정'!$C$10)</f>
        <v/>
      </c>
      <c r="AI25" s="45">
        <f>AH25*'대시보드_및_설정'!$C$9</f>
        <v/>
      </c>
      <c r="AJ25" s="45">
        <f>AH25-AI25</f>
        <v/>
      </c>
      <c r="AK25" s="45">
        <f>AD25+AE25+AG25+AI25</f>
        <v/>
      </c>
      <c r="AL25" s="45">
        <f>F25+N25+V25+AD25</f>
        <v/>
      </c>
      <c r="AM25" s="45">
        <f>G25+O25+W25+AE25</f>
        <v/>
      </c>
      <c r="AN25" s="45">
        <f>I25+Q25+Y25+AG25</f>
        <v/>
      </c>
      <c r="AO25" s="45">
        <f>J25+R25+Z25+AH25</f>
        <v/>
      </c>
      <c r="AP25" s="45">
        <f>K25+S25+AA25+AI25</f>
        <v/>
      </c>
      <c r="AQ25" s="45">
        <f>L25+T25+AB25+AJ25</f>
        <v/>
      </c>
      <c r="AR25" s="45">
        <f>AR24+AP25</f>
        <v/>
      </c>
      <c r="AS25" s="45">
        <f>AS24+AQ25</f>
        <v/>
      </c>
      <c r="AT25" s="47">
        <f>M25+U25+AC25+AK25</f>
        <v/>
      </c>
      <c r="AU25" s="45">
        <f>AO25/12</f>
        <v/>
      </c>
      <c r="AV25" s="48">
        <f>IFERROR((AT25+AS25)/E25-1,0)</f>
        <v/>
      </c>
    </row>
    <row r="26">
      <c r="A26" s="20" t="n">
        <v>21</v>
      </c>
      <c r="B26" s="32">
        <f>'대시보드_및_설정'!$C$11+A26</f>
        <v/>
      </c>
      <c r="C26" s="45">
        <f>'대시보드_및_설정'!$C$7*(1+'대시보드_및_설정'!$C$8)^(A26-1)</f>
        <v/>
      </c>
      <c r="D26" s="45">
        <f>C26*12</f>
        <v/>
      </c>
      <c r="E26" s="45">
        <f>E25+D26</f>
        <v/>
      </c>
      <c r="F26" s="45">
        <f>M25</f>
        <v/>
      </c>
      <c r="G26" s="45">
        <f>$D26*'대시보드_및_설정'!$F$6</f>
        <v/>
      </c>
      <c r="H26" s="46">
        <f>'대시보드_및_설정'!$H$6*((1+'대시보드_및_설정'!$I$6)/(1+'대시보드_및_설정'!$G$6))^($A26-1)</f>
        <v/>
      </c>
      <c r="I26" s="45">
        <f>F26*'대시보드_및_설정'!$G$6+(FV((1+'대시보드_및_설정'!$G$6)^(1/12)-1,12,-$C26*'대시보드_및_설정'!$F$6,0,1)-G26)</f>
        <v/>
      </c>
      <c r="J26" s="45">
        <f>(F26*H26+G26*H26*13/24)*(1-'대시보드_및_설정'!$C$10)</f>
        <v/>
      </c>
      <c r="K26" s="45">
        <f>J26*'대시보드_및_설정'!$C$9</f>
        <v/>
      </c>
      <c r="L26" s="45">
        <f>J26-K26</f>
        <v/>
      </c>
      <c r="M26" s="45">
        <f>F26+G26+I26+K26</f>
        <v/>
      </c>
      <c r="N26" s="45">
        <f>U25</f>
        <v/>
      </c>
      <c r="O26" s="45">
        <f>$D26*'대시보드_및_설정'!$F$7</f>
        <v/>
      </c>
      <c r="P26" s="46">
        <f>'대시보드_및_설정'!$H$7*((1+'대시보드_및_설정'!$I$7)/(1+'대시보드_및_설정'!$G$7))^($A26-1)</f>
        <v/>
      </c>
      <c r="Q26" s="45">
        <f>N26*'대시보드_및_설정'!$G$7+(FV((1+'대시보드_및_설정'!$G$7)^(1/12)-1,12,-$C26*'대시보드_및_설정'!$F$7,0,1)-O26)</f>
        <v/>
      </c>
      <c r="R26" s="45">
        <f>(N26*P26+O26*P26*13/24)*(1-'대시보드_및_설정'!$C$10)</f>
        <v/>
      </c>
      <c r="S26" s="45">
        <f>R26*'대시보드_및_설정'!$C$9</f>
        <v/>
      </c>
      <c r="T26" s="45">
        <f>R26-S26</f>
        <v/>
      </c>
      <c r="U26" s="45">
        <f>N26+O26+Q26+S26</f>
        <v/>
      </c>
      <c r="V26" s="45">
        <f>AC25</f>
        <v/>
      </c>
      <c r="W26" s="45">
        <f>$D26*'대시보드_및_설정'!$F$8</f>
        <v/>
      </c>
      <c r="X26" s="46">
        <f>'대시보드_및_설정'!$H$8*((1+'대시보드_및_설정'!$I$8)/(1+'대시보드_및_설정'!$G$8))^($A26-1)</f>
        <v/>
      </c>
      <c r="Y26" s="45">
        <f>V26*'대시보드_및_설정'!$G$8+(FV((1+'대시보드_및_설정'!$G$8)^(1/12)-1,12,-$C26*'대시보드_및_설정'!$F$8,0,1)-W26)</f>
        <v/>
      </c>
      <c r="Z26" s="45">
        <f>(V26*X26+W26*X26*13/24)*(1-'대시보드_및_설정'!$C$10)</f>
        <v/>
      </c>
      <c r="AA26" s="45">
        <f>Z26*'대시보드_및_설정'!$C$9</f>
        <v/>
      </c>
      <c r="AB26" s="45">
        <f>Z26-AA26</f>
        <v/>
      </c>
      <c r="AC26" s="45">
        <f>V26+W26+Y26+AA26</f>
        <v/>
      </c>
      <c r="AD26" s="45">
        <f>AK25</f>
        <v/>
      </c>
      <c r="AE26" s="45">
        <f>$D26*'대시보드_및_설정'!$F$9</f>
        <v/>
      </c>
      <c r="AF26" s="46">
        <f>'대시보드_및_설정'!$H$9*((1+'대시보드_및_설정'!$I$9)/(1+'대시보드_및_설정'!$G$9))^($A26-1)</f>
        <v/>
      </c>
      <c r="AG26" s="45">
        <f>AD26*'대시보드_및_설정'!$G$9+(FV((1+'대시보드_및_설정'!$G$9)^(1/12)-1,12,-$C26*'대시보드_및_설정'!$F$9,0,1)-AE26)</f>
        <v/>
      </c>
      <c r="AH26" s="45">
        <f>(AD26*AF26+AE26*AF26*13/24)*(1-'대시보드_및_설정'!$C$10)</f>
        <v/>
      </c>
      <c r="AI26" s="45">
        <f>AH26*'대시보드_및_설정'!$C$9</f>
        <v/>
      </c>
      <c r="AJ26" s="45">
        <f>AH26-AI26</f>
        <v/>
      </c>
      <c r="AK26" s="45">
        <f>AD26+AE26+AG26+AI26</f>
        <v/>
      </c>
      <c r="AL26" s="45">
        <f>F26+N26+V26+AD26</f>
        <v/>
      </c>
      <c r="AM26" s="45">
        <f>G26+O26+W26+AE26</f>
        <v/>
      </c>
      <c r="AN26" s="45">
        <f>I26+Q26+Y26+AG26</f>
        <v/>
      </c>
      <c r="AO26" s="45">
        <f>J26+R26+Z26+AH26</f>
        <v/>
      </c>
      <c r="AP26" s="45">
        <f>K26+S26+AA26+AI26</f>
        <v/>
      </c>
      <c r="AQ26" s="45">
        <f>L26+T26+AB26+AJ26</f>
        <v/>
      </c>
      <c r="AR26" s="45">
        <f>AR25+AP26</f>
        <v/>
      </c>
      <c r="AS26" s="45">
        <f>AS25+AQ26</f>
        <v/>
      </c>
      <c r="AT26" s="47">
        <f>M26+U26+AC26+AK26</f>
        <v/>
      </c>
      <c r="AU26" s="45">
        <f>AO26/12</f>
        <v/>
      </c>
      <c r="AV26" s="48">
        <f>IFERROR((AT26+AS26)/E26-1,0)</f>
        <v/>
      </c>
    </row>
    <row r="27">
      <c r="A27" s="20" t="n">
        <v>22</v>
      </c>
      <c r="B27" s="32">
        <f>'대시보드_및_설정'!$C$11+A27</f>
        <v/>
      </c>
      <c r="C27" s="45">
        <f>'대시보드_및_설정'!$C$7*(1+'대시보드_및_설정'!$C$8)^(A27-1)</f>
        <v/>
      </c>
      <c r="D27" s="45">
        <f>C27*12</f>
        <v/>
      </c>
      <c r="E27" s="45">
        <f>E26+D27</f>
        <v/>
      </c>
      <c r="F27" s="45">
        <f>M26</f>
        <v/>
      </c>
      <c r="G27" s="45">
        <f>$D27*'대시보드_및_설정'!$F$6</f>
        <v/>
      </c>
      <c r="H27" s="46">
        <f>'대시보드_및_설정'!$H$6*((1+'대시보드_및_설정'!$I$6)/(1+'대시보드_및_설정'!$G$6))^($A27-1)</f>
        <v/>
      </c>
      <c r="I27" s="45">
        <f>F27*'대시보드_및_설정'!$G$6+(FV((1+'대시보드_및_설정'!$G$6)^(1/12)-1,12,-$C27*'대시보드_및_설정'!$F$6,0,1)-G27)</f>
        <v/>
      </c>
      <c r="J27" s="45">
        <f>(F27*H27+G27*H27*13/24)*(1-'대시보드_및_설정'!$C$10)</f>
        <v/>
      </c>
      <c r="K27" s="45">
        <f>J27*'대시보드_및_설정'!$C$9</f>
        <v/>
      </c>
      <c r="L27" s="45">
        <f>J27-K27</f>
        <v/>
      </c>
      <c r="M27" s="45">
        <f>F27+G27+I27+K27</f>
        <v/>
      </c>
      <c r="N27" s="45">
        <f>U26</f>
        <v/>
      </c>
      <c r="O27" s="45">
        <f>$D27*'대시보드_및_설정'!$F$7</f>
        <v/>
      </c>
      <c r="P27" s="46">
        <f>'대시보드_및_설정'!$H$7*((1+'대시보드_및_설정'!$I$7)/(1+'대시보드_및_설정'!$G$7))^($A27-1)</f>
        <v/>
      </c>
      <c r="Q27" s="45">
        <f>N27*'대시보드_및_설정'!$G$7+(FV((1+'대시보드_및_설정'!$G$7)^(1/12)-1,12,-$C27*'대시보드_및_설정'!$F$7,0,1)-O27)</f>
        <v/>
      </c>
      <c r="R27" s="45">
        <f>(N27*P27+O27*P27*13/24)*(1-'대시보드_및_설정'!$C$10)</f>
        <v/>
      </c>
      <c r="S27" s="45">
        <f>R27*'대시보드_및_설정'!$C$9</f>
        <v/>
      </c>
      <c r="T27" s="45">
        <f>R27-S27</f>
        <v/>
      </c>
      <c r="U27" s="45">
        <f>N27+O27+Q27+S27</f>
        <v/>
      </c>
      <c r="V27" s="45">
        <f>AC26</f>
        <v/>
      </c>
      <c r="W27" s="45">
        <f>$D27*'대시보드_및_설정'!$F$8</f>
        <v/>
      </c>
      <c r="X27" s="46">
        <f>'대시보드_및_설정'!$H$8*((1+'대시보드_및_설정'!$I$8)/(1+'대시보드_및_설정'!$G$8))^($A27-1)</f>
        <v/>
      </c>
      <c r="Y27" s="45">
        <f>V27*'대시보드_및_설정'!$G$8+(FV((1+'대시보드_및_설정'!$G$8)^(1/12)-1,12,-$C27*'대시보드_및_설정'!$F$8,0,1)-W27)</f>
        <v/>
      </c>
      <c r="Z27" s="45">
        <f>(V27*X27+W27*X27*13/24)*(1-'대시보드_및_설정'!$C$10)</f>
        <v/>
      </c>
      <c r="AA27" s="45">
        <f>Z27*'대시보드_및_설정'!$C$9</f>
        <v/>
      </c>
      <c r="AB27" s="45">
        <f>Z27-AA27</f>
        <v/>
      </c>
      <c r="AC27" s="45">
        <f>V27+W27+Y27+AA27</f>
        <v/>
      </c>
      <c r="AD27" s="45">
        <f>AK26</f>
        <v/>
      </c>
      <c r="AE27" s="45">
        <f>$D27*'대시보드_및_설정'!$F$9</f>
        <v/>
      </c>
      <c r="AF27" s="46">
        <f>'대시보드_및_설정'!$H$9*((1+'대시보드_및_설정'!$I$9)/(1+'대시보드_및_설정'!$G$9))^($A27-1)</f>
        <v/>
      </c>
      <c r="AG27" s="45">
        <f>AD27*'대시보드_및_설정'!$G$9+(FV((1+'대시보드_및_설정'!$G$9)^(1/12)-1,12,-$C27*'대시보드_및_설정'!$F$9,0,1)-AE27)</f>
        <v/>
      </c>
      <c r="AH27" s="45">
        <f>(AD27*AF27+AE27*AF27*13/24)*(1-'대시보드_및_설정'!$C$10)</f>
        <v/>
      </c>
      <c r="AI27" s="45">
        <f>AH27*'대시보드_및_설정'!$C$9</f>
        <v/>
      </c>
      <c r="AJ27" s="45">
        <f>AH27-AI27</f>
        <v/>
      </c>
      <c r="AK27" s="45">
        <f>AD27+AE27+AG27+AI27</f>
        <v/>
      </c>
      <c r="AL27" s="45">
        <f>F27+N27+V27+AD27</f>
        <v/>
      </c>
      <c r="AM27" s="45">
        <f>G27+O27+W27+AE27</f>
        <v/>
      </c>
      <c r="AN27" s="45">
        <f>I27+Q27+Y27+AG27</f>
        <v/>
      </c>
      <c r="AO27" s="45">
        <f>J27+R27+Z27+AH27</f>
        <v/>
      </c>
      <c r="AP27" s="45">
        <f>K27+S27+AA27+AI27</f>
        <v/>
      </c>
      <c r="AQ27" s="45">
        <f>L27+T27+AB27+AJ27</f>
        <v/>
      </c>
      <c r="AR27" s="45">
        <f>AR26+AP27</f>
        <v/>
      </c>
      <c r="AS27" s="45">
        <f>AS26+AQ27</f>
        <v/>
      </c>
      <c r="AT27" s="47">
        <f>M27+U27+AC27+AK27</f>
        <v/>
      </c>
      <c r="AU27" s="45">
        <f>AO27/12</f>
        <v/>
      </c>
      <c r="AV27" s="48">
        <f>IFERROR((AT27+AS27)/E27-1,0)</f>
        <v/>
      </c>
    </row>
    <row r="28">
      <c r="A28" s="20" t="n">
        <v>23</v>
      </c>
      <c r="B28" s="32">
        <f>'대시보드_및_설정'!$C$11+A28</f>
        <v/>
      </c>
      <c r="C28" s="45">
        <f>'대시보드_및_설정'!$C$7*(1+'대시보드_및_설정'!$C$8)^(A28-1)</f>
        <v/>
      </c>
      <c r="D28" s="45">
        <f>C28*12</f>
        <v/>
      </c>
      <c r="E28" s="45">
        <f>E27+D28</f>
        <v/>
      </c>
      <c r="F28" s="45">
        <f>M27</f>
        <v/>
      </c>
      <c r="G28" s="45">
        <f>$D28*'대시보드_및_설정'!$F$6</f>
        <v/>
      </c>
      <c r="H28" s="46">
        <f>'대시보드_및_설정'!$H$6*((1+'대시보드_및_설정'!$I$6)/(1+'대시보드_및_설정'!$G$6))^($A28-1)</f>
        <v/>
      </c>
      <c r="I28" s="45">
        <f>F28*'대시보드_및_설정'!$G$6+(FV((1+'대시보드_및_설정'!$G$6)^(1/12)-1,12,-$C28*'대시보드_및_설정'!$F$6,0,1)-G28)</f>
        <v/>
      </c>
      <c r="J28" s="45">
        <f>(F28*H28+G28*H28*13/24)*(1-'대시보드_및_설정'!$C$10)</f>
        <v/>
      </c>
      <c r="K28" s="45">
        <f>J28*'대시보드_및_설정'!$C$9</f>
        <v/>
      </c>
      <c r="L28" s="45">
        <f>J28-K28</f>
        <v/>
      </c>
      <c r="M28" s="45">
        <f>F28+G28+I28+K28</f>
        <v/>
      </c>
      <c r="N28" s="45">
        <f>U27</f>
        <v/>
      </c>
      <c r="O28" s="45">
        <f>$D28*'대시보드_및_설정'!$F$7</f>
        <v/>
      </c>
      <c r="P28" s="46">
        <f>'대시보드_및_설정'!$H$7*((1+'대시보드_및_설정'!$I$7)/(1+'대시보드_및_설정'!$G$7))^($A28-1)</f>
        <v/>
      </c>
      <c r="Q28" s="45">
        <f>N28*'대시보드_및_설정'!$G$7+(FV((1+'대시보드_및_설정'!$G$7)^(1/12)-1,12,-$C28*'대시보드_및_설정'!$F$7,0,1)-O28)</f>
        <v/>
      </c>
      <c r="R28" s="45">
        <f>(N28*P28+O28*P28*13/24)*(1-'대시보드_및_설정'!$C$10)</f>
        <v/>
      </c>
      <c r="S28" s="45">
        <f>R28*'대시보드_및_설정'!$C$9</f>
        <v/>
      </c>
      <c r="T28" s="45">
        <f>R28-S28</f>
        <v/>
      </c>
      <c r="U28" s="45">
        <f>N28+O28+Q28+S28</f>
        <v/>
      </c>
      <c r="V28" s="45">
        <f>AC27</f>
        <v/>
      </c>
      <c r="W28" s="45">
        <f>$D28*'대시보드_및_설정'!$F$8</f>
        <v/>
      </c>
      <c r="X28" s="46">
        <f>'대시보드_및_설정'!$H$8*((1+'대시보드_및_설정'!$I$8)/(1+'대시보드_및_설정'!$G$8))^($A28-1)</f>
        <v/>
      </c>
      <c r="Y28" s="45">
        <f>V28*'대시보드_및_설정'!$G$8+(FV((1+'대시보드_및_설정'!$G$8)^(1/12)-1,12,-$C28*'대시보드_및_설정'!$F$8,0,1)-W28)</f>
        <v/>
      </c>
      <c r="Z28" s="45">
        <f>(V28*X28+W28*X28*13/24)*(1-'대시보드_및_설정'!$C$10)</f>
        <v/>
      </c>
      <c r="AA28" s="45">
        <f>Z28*'대시보드_및_설정'!$C$9</f>
        <v/>
      </c>
      <c r="AB28" s="45">
        <f>Z28-AA28</f>
        <v/>
      </c>
      <c r="AC28" s="45">
        <f>V28+W28+Y28+AA28</f>
        <v/>
      </c>
      <c r="AD28" s="45">
        <f>AK27</f>
        <v/>
      </c>
      <c r="AE28" s="45">
        <f>$D28*'대시보드_및_설정'!$F$9</f>
        <v/>
      </c>
      <c r="AF28" s="46">
        <f>'대시보드_및_설정'!$H$9*((1+'대시보드_및_설정'!$I$9)/(1+'대시보드_및_설정'!$G$9))^($A28-1)</f>
        <v/>
      </c>
      <c r="AG28" s="45">
        <f>AD28*'대시보드_및_설정'!$G$9+(FV((1+'대시보드_및_설정'!$G$9)^(1/12)-1,12,-$C28*'대시보드_및_설정'!$F$9,0,1)-AE28)</f>
        <v/>
      </c>
      <c r="AH28" s="45">
        <f>(AD28*AF28+AE28*AF28*13/24)*(1-'대시보드_및_설정'!$C$10)</f>
        <v/>
      </c>
      <c r="AI28" s="45">
        <f>AH28*'대시보드_및_설정'!$C$9</f>
        <v/>
      </c>
      <c r="AJ28" s="45">
        <f>AH28-AI28</f>
        <v/>
      </c>
      <c r="AK28" s="45">
        <f>AD28+AE28+AG28+AI28</f>
        <v/>
      </c>
      <c r="AL28" s="45">
        <f>F28+N28+V28+AD28</f>
        <v/>
      </c>
      <c r="AM28" s="45">
        <f>G28+O28+W28+AE28</f>
        <v/>
      </c>
      <c r="AN28" s="45">
        <f>I28+Q28+Y28+AG28</f>
        <v/>
      </c>
      <c r="AO28" s="45">
        <f>J28+R28+Z28+AH28</f>
        <v/>
      </c>
      <c r="AP28" s="45">
        <f>K28+S28+AA28+AI28</f>
        <v/>
      </c>
      <c r="AQ28" s="45">
        <f>L28+T28+AB28+AJ28</f>
        <v/>
      </c>
      <c r="AR28" s="45">
        <f>AR27+AP28</f>
        <v/>
      </c>
      <c r="AS28" s="45">
        <f>AS27+AQ28</f>
        <v/>
      </c>
      <c r="AT28" s="47">
        <f>M28+U28+AC28+AK28</f>
        <v/>
      </c>
      <c r="AU28" s="45">
        <f>AO28/12</f>
        <v/>
      </c>
      <c r="AV28" s="48">
        <f>IFERROR((AT28+AS28)/E28-1,0)</f>
        <v/>
      </c>
    </row>
    <row r="29">
      <c r="A29" s="20" t="n">
        <v>24</v>
      </c>
      <c r="B29" s="32">
        <f>'대시보드_및_설정'!$C$11+A29</f>
        <v/>
      </c>
      <c r="C29" s="45">
        <f>'대시보드_및_설정'!$C$7*(1+'대시보드_및_설정'!$C$8)^(A29-1)</f>
        <v/>
      </c>
      <c r="D29" s="45">
        <f>C29*12</f>
        <v/>
      </c>
      <c r="E29" s="45">
        <f>E28+D29</f>
        <v/>
      </c>
      <c r="F29" s="45">
        <f>M28</f>
        <v/>
      </c>
      <c r="G29" s="45">
        <f>$D29*'대시보드_및_설정'!$F$6</f>
        <v/>
      </c>
      <c r="H29" s="46">
        <f>'대시보드_및_설정'!$H$6*((1+'대시보드_및_설정'!$I$6)/(1+'대시보드_및_설정'!$G$6))^($A29-1)</f>
        <v/>
      </c>
      <c r="I29" s="45">
        <f>F29*'대시보드_및_설정'!$G$6+(FV((1+'대시보드_및_설정'!$G$6)^(1/12)-1,12,-$C29*'대시보드_및_설정'!$F$6,0,1)-G29)</f>
        <v/>
      </c>
      <c r="J29" s="45">
        <f>(F29*H29+G29*H29*13/24)*(1-'대시보드_및_설정'!$C$10)</f>
        <v/>
      </c>
      <c r="K29" s="45">
        <f>J29*'대시보드_및_설정'!$C$9</f>
        <v/>
      </c>
      <c r="L29" s="45">
        <f>J29-K29</f>
        <v/>
      </c>
      <c r="M29" s="45">
        <f>F29+G29+I29+K29</f>
        <v/>
      </c>
      <c r="N29" s="45">
        <f>U28</f>
        <v/>
      </c>
      <c r="O29" s="45">
        <f>$D29*'대시보드_및_설정'!$F$7</f>
        <v/>
      </c>
      <c r="P29" s="46">
        <f>'대시보드_및_설정'!$H$7*((1+'대시보드_및_설정'!$I$7)/(1+'대시보드_및_설정'!$G$7))^($A29-1)</f>
        <v/>
      </c>
      <c r="Q29" s="45">
        <f>N29*'대시보드_및_설정'!$G$7+(FV((1+'대시보드_및_설정'!$G$7)^(1/12)-1,12,-$C29*'대시보드_및_설정'!$F$7,0,1)-O29)</f>
        <v/>
      </c>
      <c r="R29" s="45">
        <f>(N29*P29+O29*P29*13/24)*(1-'대시보드_및_설정'!$C$10)</f>
        <v/>
      </c>
      <c r="S29" s="45">
        <f>R29*'대시보드_및_설정'!$C$9</f>
        <v/>
      </c>
      <c r="T29" s="45">
        <f>R29-S29</f>
        <v/>
      </c>
      <c r="U29" s="45">
        <f>N29+O29+Q29+S29</f>
        <v/>
      </c>
      <c r="V29" s="45">
        <f>AC28</f>
        <v/>
      </c>
      <c r="W29" s="45">
        <f>$D29*'대시보드_및_설정'!$F$8</f>
        <v/>
      </c>
      <c r="X29" s="46">
        <f>'대시보드_및_설정'!$H$8*((1+'대시보드_및_설정'!$I$8)/(1+'대시보드_및_설정'!$G$8))^($A29-1)</f>
        <v/>
      </c>
      <c r="Y29" s="45">
        <f>V29*'대시보드_및_설정'!$G$8+(FV((1+'대시보드_및_설정'!$G$8)^(1/12)-1,12,-$C29*'대시보드_및_설정'!$F$8,0,1)-W29)</f>
        <v/>
      </c>
      <c r="Z29" s="45">
        <f>(V29*X29+W29*X29*13/24)*(1-'대시보드_및_설정'!$C$10)</f>
        <v/>
      </c>
      <c r="AA29" s="45">
        <f>Z29*'대시보드_및_설정'!$C$9</f>
        <v/>
      </c>
      <c r="AB29" s="45">
        <f>Z29-AA29</f>
        <v/>
      </c>
      <c r="AC29" s="45">
        <f>V29+W29+Y29+AA29</f>
        <v/>
      </c>
      <c r="AD29" s="45">
        <f>AK28</f>
        <v/>
      </c>
      <c r="AE29" s="45">
        <f>$D29*'대시보드_및_설정'!$F$9</f>
        <v/>
      </c>
      <c r="AF29" s="46">
        <f>'대시보드_및_설정'!$H$9*((1+'대시보드_및_설정'!$I$9)/(1+'대시보드_및_설정'!$G$9))^($A29-1)</f>
        <v/>
      </c>
      <c r="AG29" s="45">
        <f>AD29*'대시보드_및_설정'!$G$9+(FV((1+'대시보드_및_설정'!$G$9)^(1/12)-1,12,-$C29*'대시보드_및_설정'!$F$9,0,1)-AE29)</f>
        <v/>
      </c>
      <c r="AH29" s="45">
        <f>(AD29*AF29+AE29*AF29*13/24)*(1-'대시보드_및_설정'!$C$10)</f>
        <v/>
      </c>
      <c r="AI29" s="45">
        <f>AH29*'대시보드_및_설정'!$C$9</f>
        <v/>
      </c>
      <c r="AJ29" s="45">
        <f>AH29-AI29</f>
        <v/>
      </c>
      <c r="AK29" s="45">
        <f>AD29+AE29+AG29+AI29</f>
        <v/>
      </c>
      <c r="AL29" s="45">
        <f>F29+N29+V29+AD29</f>
        <v/>
      </c>
      <c r="AM29" s="45">
        <f>G29+O29+W29+AE29</f>
        <v/>
      </c>
      <c r="AN29" s="45">
        <f>I29+Q29+Y29+AG29</f>
        <v/>
      </c>
      <c r="AO29" s="45">
        <f>J29+R29+Z29+AH29</f>
        <v/>
      </c>
      <c r="AP29" s="45">
        <f>K29+S29+AA29+AI29</f>
        <v/>
      </c>
      <c r="AQ29" s="45">
        <f>L29+T29+AB29+AJ29</f>
        <v/>
      </c>
      <c r="AR29" s="45">
        <f>AR28+AP29</f>
        <v/>
      </c>
      <c r="AS29" s="45">
        <f>AS28+AQ29</f>
        <v/>
      </c>
      <c r="AT29" s="47">
        <f>M29+U29+AC29+AK29</f>
        <v/>
      </c>
      <c r="AU29" s="45">
        <f>AO29/12</f>
        <v/>
      </c>
      <c r="AV29" s="48">
        <f>IFERROR((AT29+AS29)/E29-1,0)</f>
        <v/>
      </c>
    </row>
    <row r="30">
      <c r="A30" s="20" t="n">
        <v>25</v>
      </c>
      <c r="B30" s="32">
        <f>'대시보드_및_설정'!$C$11+A30</f>
        <v/>
      </c>
      <c r="C30" s="45">
        <f>'대시보드_및_설정'!$C$7*(1+'대시보드_및_설정'!$C$8)^(A30-1)</f>
        <v/>
      </c>
      <c r="D30" s="45">
        <f>C30*12</f>
        <v/>
      </c>
      <c r="E30" s="45">
        <f>E29+D30</f>
        <v/>
      </c>
      <c r="F30" s="45">
        <f>M29</f>
        <v/>
      </c>
      <c r="G30" s="45">
        <f>$D30*'대시보드_및_설정'!$F$6</f>
        <v/>
      </c>
      <c r="H30" s="46">
        <f>'대시보드_및_설정'!$H$6*((1+'대시보드_및_설정'!$I$6)/(1+'대시보드_및_설정'!$G$6))^($A30-1)</f>
        <v/>
      </c>
      <c r="I30" s="45">
        <f>F30*'대시보드_및_설정'!$G$6+(FV((1+'대시보드_및_설정'!$G$6)^(1/12)-1,12,-$C30*'대시보드_및_설정'!$F$6,0,1)-G30)</f>
        <v/>
      </c>
      <c r="J30" s="45">
        <f>(F30*H30+G30*H30*13/24)*(1-'대시보드_및_설정'!$C$10)</f>
        <v/>
      </c>
      <c r="K30" s="45">
        <f>J30*'대시보드_및_설정'!$C$9</f>
        <v/>
      </c>
      <c r="L30" s="45">
        <f>J30-K30</f>
        <v/>
      </c>
      <c r="M30" s="45">
        <f>F30+G30+I30+K30</f>
        <v/>
      </c>
      <c r="N30" s="45">
        <f>U29</f>
        <v/>
      </c>
      <c r="O30" s="45">
        <f>$D30*'대시보드_및_설정'!$F$7</f>
        <v/>
      </c>
      <c r="P30" s="46">
        <f>'대시보드_및_설정'!$H$7*((1+'대시보드_및_설정'!$I$7)/(1+'대시보드_및_설정'!$G$7))^($A30-1)</f>
        <v/>
      </c>
      <c r="Q30" s="45">
        <f>N30*'대시보드_및_설정'!$G$7+(FV((1+'대시보드_및_설정'!$G$7)^(1/12)-1,12,-$C30*'대시보드_및_설정'!$F$7,0,1)-O30)</f>
        <v/>
      </c>
      <c r="R30" s="45">
        <f>(N30*P30+O30*P30*13/24)*(1-'대시보드_및_설정'!$C$10)</f>
        <v/>
      </c>
      <c r="S30" s="45">
        <f>R30*'대시보드_및_설정'!$C$9</f>
        <v/>
      </c>
      <c r="T30" s="45">
        <f>R30-S30</f>
        <v/>
      </c>
      <c r="U30" s="45">
        <f>N30+O30+Q30+S30</f>
        <v/>
      </c>
      <c r="V30" s="45">
        <f>AC29</f>
        <v/>
      </c>
      <c r="W30" s="45">
        <f>$D30*'대시보드_및_설정'!$F$8</f>
        <v/>
      </c>
      <c r="X30" s="46">
        <f>'대시보드_및_설정'!$H$8*((1+'대시보드_및_설정'!$I$8)/(1+'대시보드_및_설정'!$G$8))^($A30-1)</f>
        <v/>
      </c>
      <c r="Y30" s="45">
        <f>V30*'대시보드_및_설정'!$G$8+(FV((1+'대시보드_및_설정'!$G$8)^(1/12)-1,12,-$C30*'대시보드_및_설정'!$F$8,0,1)-W30)</f>
        <v/>
      </c>
      <c r="Z30" s="45">
        <f>(V30*X30+W30*X30*13/24)*(1-'대시보드_및_설정'!$C$10)</f>
        <v/>
      </c>
      <c r="AA30" s="45">
        <f>Z30*'대시보드_및_설정'!$C$9</f>
        <v/>
      </c>
      <c r="AB30" s="45">
        <f>Z30-AA30</f>
        <v/>
      </c>
      <c r="AC30" s="45">
        <f>V30+W30+Y30+AA30</f>
        <v/>
      </c>
      <c r="AD30" s="45">
        <f>AK29</f>
        <v/>
      </c>
      <c r="AE30" s="45">
        <f>$D30*'대시보드_및_설정'!$F$9</f>
        <v/>
      </c>
      <c r="AF30" s="46">
        <f>'대시보드_및_설정'!$H$9*((1+'대시보드_및_설정'!$I$9)/(1+'대시보드_및_설정'!$G$9))^($A30-1)</f>
        <v/>
      </c>
      <c r="AG30" s="45">
        <f>AD30*'대시보드_및_설정'!$G$9+(FV((1+'대시보드_및_설정'!$G$9)^(1/12)-1,12,-$C30*'대시보드_및_설정'!$F$9,0,1)-AE30)</f>
        <v/>
      </c>
      <c r="AH30" s="45">
        <f>(AD30*AF30+AE30*AF30*13/24)*(1-'대시보드_및_설정'!$C$10)</f>
        <v/>
      </c>
      <c r="AI30" s="45">
        <f>AH30*'대시보드_및_설정'!$C$9</f>
        <v/>
      </c>
      <c r="AJ30" s="45">
        <f>AH30-AI30</f>
        <v/>
      </c>
      <c r="AK30" s="45">
        <f>AD30+AE30+AG30+AI30</f>
        <v/>
      </c>
      <c r="AL30" s="45">
        <f>F30+N30+V30+AD30</f>
        <v/>
      </c>
      <c r="AM30" s="45">
        <f>G30+O30+W30+AE30</f>
        <v/>
      </c>
      <c r="AN30" s="45">
        <f>I30+Q30+Y30+AG30</f>
        <v/>
      </c>
      <c r="AO30" s="45">
        <f>J30+R30+Z30+AH30</f>
        <v/>
      </c>
      <c r="AP30" s="45">
        <f>K30+S30+AA30+AI30</f>
        <v/>
      </c>
      <c r="AQ30" s="45">
        <f>L30+T30+AB30+AJ30</f>
        <v/>
      </c>
      <c r="AR30" s="45">
        <f>AR29+AP30</f>
        <v/>
      </c>
      <c r="AS30" s="45">
        <f>AS29+AQ30</f>
        <v/>
      </c>
      <c r="AT30" s="47">
        <f>M30+U30+AC30+AK30</f>
        <v/>
      </c>
      <c r="AU30" s="45">
        <f>AO30/12</f>
        <v/>
      </c>
      <c r="AV30" s="48">
        <f>IFERROR((AT30+AS30)/E30-1,0)</f>
        <v/>
      </c>
    </row>
    <row r="31">
      <c r="A31" s="20" t="n">
        <v>26</v>
      </c>
      <c r="B31" s="32">
        <f>'대시보드_및_설정'!$C$11+A31</f>
        <v/>
      </c>
      <c r="C31" s="45">
        <f>'대시보드_및_설정'!$C$7*(1+'대시보드_및_설정'!$C$8)^(A31-1)</f>
        <v/>
      </c>
      <c r="D31" s="45">
        <f>C31*12</f>
        <v/>
      </c>
      <c r="E31" s="45">
        <f>E30+D31</f>
        <v/>
      </c>
      <c r="F31" s="45">
        <f>M30</f>
        <v/>
      </c>
      <c r="G31" s="45">
        <f>$D31*'대시보드_및_설정'!$F$6</f>
        <v/>
      </c>
      <c r="H31" s="46">
        <f>'대시보드_및_설정'!$H$6*((1+'대시보드_및_설정'!$I$6)/(1+'대시보드_및_설정'!$G$6))^($A31-1)</f>
        <v/>
      </c>
      <c r="I31" s="45">
        <f>F31*'대시보드_및_설정'!$G$6+(FV((1+'대시보드_및_설정'!$G$6)^(1/12)-1,12,-$C31*'대시보드_및_설정'!$F$6,0,1)-G31)</f>
        <v/>
      </c>
      <c r="J31" s="45">
        <f>(F31*H31+G31*H31*13/24)*(1-'대시보드_및_설정'!$C$10)</f>
        <v/>
      </c>
      <c r="K31" s="45">
        <f>J31*'대시보드_및_설정'!$C$9</f>
        <v/>
      </c>
      <c r="L31" s="45">
        <f>J31-K31</f>
        <v/>
      </c>
      <c r="M31" s="45">
        <f>F31+G31+I31+K31</f>
        <v/>
      </c>
      <c r="N31" s="45">
        <f>U30</f>
        <v/>
      </c>
      <c r="O31" s="45">
        <f>$D31*'대시보드_및_설정'!$F$7</f>
        <v/>
      </c>
      <c r="P31" s="46">
        <f>'대시보드_및_설정'!$H$7*((1+'대시보드_및_설정'!$I$7)/(1+'대시보드_및_설정'!$G$7))^($A31-1)</f>
        <v/>
      </c>
      <c r="Q31" s="45">
        <f>N31*'대시보드_및_설정'!$G$7+(FV((1+'대시보드_및_설정'!$G$7)^(1/12)-1,12,-$C31*'대시보드_및_설정'!$F$7,0,1)-O31)</f>
        <v/>
      </c>
      <c r="R31" s="45">
        <f>(N31*P31+O31*P31*13/24)*(1-'대시보드_및_설정'!$C$10)</f>
        <v/>
      </c>
      <c r="S31" s="45">
        <f>R31*'대시보드_및_설정'!$C$9</f>
        <v/>
      </c>
      <c r="T31" s="45">
        <f>R31-S31</f>
        <v/>
      </c>
      <c r="U31" s="45">
        <f>N31+O31+Q31+S31</f>
        <v/>
      </c>
      <c r="V31" s="45">
        <f>AC30</f>
        <v/>
      </c>
      <c r="W31" s="45">
        <f>$D31*'대시보드_및_설정'!$F$8</f>
        <v/>
      </c>
      <c r="X31" s="46">
        <f>'대시보드_및_설정'!$H$8*((1+'대시보드_및_설정'!$I$8)/(1+'대시보드_및_설정'!$G$8))^($A31-1)</f>
        <v/>
      </c>
      <c r="Y31" s="45">
        <f>V31*'대시보드_및_설정'!$G$8+(FV((1+'대시보드_및_설정'!$G$8)^(1/12)-1,12,-$C31*'대시보드_및_설정'!$F$8,0,1)-W31)</f>
        <v/>
      </c>
      <c r="Z31" s="45">
        <f>(V31*X31+W31*X31*13/24)*(1-'대시보드_및_설정'!$C$10)</f>
        <v/>
      </c>
      <c r="AA31" s="45">
        <f>Z31*'대시보드_및_설정'!$C$9</f>
        <v/>
      </c>
      <c r="AB31" s="45">
        <f>Z31-AA31</f>
        <v/>
      </c>
      <c r="AC31" s="45">
        <f>V31+W31+Y31+AA31</f>
        <v/>
      </c>
      <c r="AD31" s="45">
        <f>AK30</f>
        <v/>
      </c>
      <c r="AE31" s="45">
        <f>$D31*'대시보드_및_설정'!$F$9</f>
        <v/>
      </c>
      <c r="AF31" s="46">
        <f>'대시보드_및_설정'!$H$9*((1+'대시보드_및_설정'!$I$9)/(1+'대시보드_및_설정'!$G$9))^($A31-1)</f>
        <v/>
      </c>
      <c r="AG31" s="45">
        <f>AD31*'대시보드_및_설정'!$G$9+(FV((1+'대시보드_및_설정'!$G$9)^(1/12)-1,12,-$C31*'대시보드_및_설정'!$F$9,0,1)-AE31)</f>
        <v/>
      </c>
      <c r="AH31" s="45">
        <f>(AD31*AF31+AE31*AF31*13/24)*(1-'대시보드_및_설정'!$C$10)</f>
        <v/>
      </c>
      <c r="AI31" s="45">
        <f>AH31*'대시보드_및_설정'!$C$9</f>
        <v/>
      </c>
      <c r="AJ31" s="45">
        <f>AH31-AI31</f>
        <v/>
      </c>
      <c r="AK31" s="45">
        <f>AD31+AE31+AG31+AI31</f>
        <v/>
      </c>
      <c r="AL31" s="45">
        <f>F31+N31+V31+AD31</f>
        <v/>
      </c>
      <c r="AM31" s="45">
        <f>G31+O31+W31+AE31</f>
        <v/>
      </c>
      <c r="AN31" s="45">
        <f>I31+Q31+Y31+AG31</f>
        <v/>
      </c>
      <c r="AO31" s="45">
        <f>J31+R31+Z31+AH31</f>
        <v/>
      </c>
      <c r="AP31" s="45">
        <f>K31+S31+AA31+AI31</f>
        <v/>
      </c>
      <c r="AQ31" s="45">
        <f>L31+T31+AB31+AJ31</f>
        <v/>
      </c>
      <c r="AR31" s="45">
        <f>AR30+AP31</f>
        <v/>
      </c>
      <c r="AS31" s="45">
        <f>AS30+AQ31</f>
        <v/>
      </c>
      <c r="AT31" s="47">
        <f>M31+U31+AC31+AK31</f>
        <v/>
      </c>
      <c r="AU31" s="45">
        <f>AO31/12</f>
        <v/>
      </c>
      <c r="AV31" s="48">
        <f>IFERROR((AT31+AS31)/E31-1,0)</f>
        <v/>
      </c>
    </row>
    <row r="32">
      <c r="A32" s="20" t="n">
        <v>27</v>
      </c>
      <c r="B32" s="32">
        <f>'대시보드_및_설정'!$C$11+A32</f>
        <v/>
      </c>
      <c r="C32" s="45">
        <f>'대시보드_및_설정'!$C$7*(1+'대시보드_및_설정'!$C$8)^(A32-1)</f>
        <v/>
      </c>
      <c r="D32" s="45">
        <f>C32*12</f>
        <v/>
      </c>
      <c r="E32" s="45">
        <f>E31+D32</f>
        <v/>
      </c>
      <c r="F32" s="45">
        <f>M31</f>
        <v/>
      </c>
      <c r="G32" s="45">
        <f>$D32*'대시보드_및_설정'!$F$6</f>
        <v/>
      </c>
      <c r="H32" s="46">
        <f>'대시보드_및_설정'!$H$6*((1+'대시보드_및_설정'!$I$6)/(1+'대시보드_및_설정'!$G$6))^($A32-1)</f>
        <v/>
      </c>
      <c r="I32" s="45">
        <f>F32*'대시보드_및_설정'!$G$6+(FV((1+'대시보드_및_설정'!$G$6)^(1/12)-1,12,-$C32*'대시보드_및_설정'!$F$6,0,1)-G32)</f>
        <v/>
      </c>
      <c r="J32" s="45">
        <f>(F32*H32+G32*H32*13/24)*(1-'대시보드_및_설정'!$C$10)</f>
        <v/>
      </c>
      <c r="K32" s="45">
        <f>J32*'대시보드_및_설정'!$C$9</f>
        <v/>
      </c>
      <c r="L32" s="45">
        <f>J32-K32</f>
        <v/>
      </c>
      <c r="M32" s="45">
        <f>F32+G32+I32+K32</f>
        <v/>
      </c>
      <c r="N32" s="45">
        <f>U31</f>
        <v/>
      </c>
      <c r="O32" s="45">
        <f>$D32*'대시보드_및_설정'!$F$7</f>
        <v/>
      </c>
      <c r="P32" s="46">
        <f>'대시보드_및_설정'!$H$7*((1+'대시보드_및_설정'!$I$7)/(1+'대시보드_및_설정'!$G$7))^($A32-1)</f>
        <v/>
      </c>
      <c r="Q32" s="45">
        <f>N32*'대시보드_및_설정'!$G$7+(FV((1+'대시보드_및_설정'!$G$7)^(1/12)-1,12,-$C32*'대시보드_및_설정'!$F$7,0,1)-O32)</f>
        <v/>
      </c>
      <c r="R32" s="45">
        <f>(N32*P32+O32*P32*13/24)*(1-'대시보드_및_설정'!$C$10)</f>
        <v/>
      </c>
      <c r="S32" s="45">
        <f>R32*'대시보드_및_설정'!$C$9</f>
        <v/>
      </c>
      <c r="T32" s="45">
        <f>R32-S32</f>
        <v/>
      </c>
      <c r="U32" s="45">
        <f>N32+O32+Q32+S32</f>
        <v/>
      </c>
      <c r="V32" s="45">
        <f>AC31</f>
        <v/>
      </c>
      <c r="W32" s="45">
        <f>$D32*'대시보드_및_설정'!$F$8</f>
        <v/>
      </c>
      <c r="X32" s="46">
        <f>'대시보드_및_설정'!$H$8*((1+'대시보드_및_설정'!$I$8)/(1+'대시보드_및_설정'!$G$8))^($A32-1)</f>
        <v/>
      </c>
      <c r="Y32" s="45">
        <f>V32*'대시보드_및_설정'!$G$8+(FV((1+'대시보드_및_설정'!$G$8)^(1/12)-1,12,-$C32*'대시보드_및_설정'!$F$8,0,1)-W32)</f>
        <v/>
      </c>
      <c r="Z32" s="45">
        <f>(V32*X32+W32*X32*13/24)*(1-'대시보드_및_설정'!$C$10)</f>
        <v/>
      </c>
      <c r="AA32" s="45">
        <f>Z32*'대시보드_및_설정'!$C$9</f>
        <v/>
      </c>
      <c r="AB32" s="45">
        <f>Z32-AA32</f>
        <v/>
      </c>
      <c r="AC32" s="45">
        <f>V32+W32+Y32+AA32</f>
        <v/>
      </c>
      <c r="AD32" s="45">
        <f>AK31</f>
        <v/>
      </c>
      <c r="AE32" s="45">
        <f>$D32*'대시보드_및_설정'!$F$9</f>
        <v/>
      </c>
      <c r="AF32" s="46">
        <f>'대시보드_및_설정'!$H$9*((1+'대시보드_및_설정'!$I$9)/(1+'대시보드_및_설정'!$G$9))^($A32-1)</f>
        <v/>
      </c>
      <c r="AG32" s="45">
        <f>AD32*'대시보드_및_설정'!$G$9+(FV((1+'대시보드_및_설정'!$G$9)^(1/12)-1,12,-$C32*'대시보드_및_설정'!$F$9,0,1)-AE32)</f>
        <v/>
      </c>
      <c r="AH32" s="45">
        <f>(AD32*AF32+AE32*AF32*13/24)*(1-'대시보드_및_설정'!$C$10)</f>
        <v/>
      </c>
      <c r="AI32" s="45">
        <f>AH32*'대시보드_및_설정'!$C$9</f>
        <v/>
      </c>
      <c r="AJ32" s="45">
        <f>AH32-AI32</f>
        <v/>
      </c>
      <c r="AK32" s="45">
        <f>AD32+AE32+AG32+AI32</f>
        <v/>
      </c>
      <c r="AL32" s="45">
        <f>F32+N32+V32+AD32</f>
        <v/>
      </c>
      <c r="AM32" s="45">
        <f>G32+O32+W32+AE32</f>
        <v/>
      </c>
      <c r="AN32" s="45">
        <f>I32+Q32+Y32+AG32</f>
        <v/>
      </c>
      <c r="AO32" s="45">
        <f>J32+R32+Z32+AH32</f>
        <v/>
      </c>
      <c r="AP32" s="45">
        <f>K32+S32+AA32+AI32</f>
        <v/>
      </c>
      <c r="AQ32" s="45">
        <f>L32+T32+AB32+AJ32</f>
        <v/>
      </c>
      <c r="AR32" s="45">
        <f>AR31+AP32</f>
        <v/>
      </c>
      <c r="AS32" s="45">
        <f>AS31+AQ32</f>
        <v/>
      </c>
      <c r="AT32" s="47">
        <f>M32+U32+AC32+AK32</f>
        <v/>
      </c>
      <c r="AU32" s="45">
        <f>AO32/12</f>
        <v/>
      </c>
      <c r="AV32" s="48">
        <f>IFERROR((AT32+AS32)/E32-1,0)</f>
        <v/>
      </c>
    </row>
    <row r="33">
      <c r="A33" s="20" t="n">
        <v>28</v>
      </c>
      <c r="B33" s="32">
        <f>'대시보드_및_설정'!$C$11+A33</f>
        <v/>
      </c>
      <c r="C33" s="45">
        <f>'대시보드_및_설정'!$C$7*(1+'대시보드_및_설정'!$C$8)^(A33-1)</f>
        <v/>
      </c>
      <c r="D33" s="45">
        <f>C33*12</f>
        <v/>
      </c>
      <c r="E33" s="45">
        <f>E32+D33</f>
        <v/>
      </c>
      <c r="F33" s="45">
        <f>M32</f>
        <v/>
      </c>
      <c r="G33" s="45">
        <f>$D33*'대시보드_및_설정'!$F$6</f>
        <v/>
      </c>
      <c r="H33" s="46">
        <f>'대시보드_및_설정'!$H$6*((1+'대시보드_및_설정'!$I$6)/(1+'대시보드_및_설정'!$G$6))^($A33-1)</f>
        <v/>
      </c>
      <c r="I33" s="45">
        <f>F33*'대시보드_및_설정'!$G$6+(FV((1+'대시보드_및_설정'!$G$6)^(1/12)-1,12,-$C33*'대시보드_및_설정'!$F$6,0,1)-G33)</f>
        <v/>
      </c>
      <c r="J33" s="45">
        <f>(F33*H33+G33*H33*13/24)*(1-'대시보드_및_설정'!$C$10)</f>
        <v/>
      </c>
      <c r="K33" s="45">
        <f>J33*'대시보드_및_설정'!$C$9</f>
        <v/>
      </c>
      <c r="L33" s="45">
        <f>J33-K33</f>
        <v/>
      </c>
      <c r="M33" s="45">
        <f>F33+G33+I33+K33</f>
        <v/>
      </c>
      <c r="N33" s="45">
        <f>U32</f>
        <v/>
      </c>
      <c r="O33" s="45">
        <f>$D33*'대시보드_및_설정'!$F$7</f>
        <v/>
      </c>
      <c r="P33" s="46">
        <f>'대시보드_및_설정'!$H$7*((1+'대시보드_및_설정'!$I$7)/(1+'대시보드_및_설정'!$G$7))^($A33-1)</f>
        <v/>
      </c>
      <c r="Q33" s="45">
        <f>N33*'대시보드_및_설정'!$G$7+(FV((1+'대시보드_및_설정'!$G$7)^(1/12)-1,12,-$C33*'대시보드_및_설정'!$F$7,0,1)-O33)</f>
        <v/>
      </c>
      <c r="R33" s="45">
        <f>(N33*P33+O33*P33*13/24)*(1-'대시보드_및_설정'!$C$10)</f>
        <v/>
      </c>
      <c r="S33" s="45">
        <f>R33*'대시보드_및_설정'!$C$9</f>
        <v/>
      </c>
      <c r="T33" s="45">
        <f>R33-S33</f>
        <v/>
      </c>
      <c r="U33" s="45">
        <f>N33+O33+Q33+S33</f>
        <v/>
      </c>
      <c r="V33" s="45">
        <f>AC32</f>
        <v/>
      </c>
      <c r="W33" s="45">
        <f>$D33*'대시보드_및_설정'!$F$8</f>
        <v/>
      </c>
      <c r="X33" s="46">
        <f>'대시보드_및_설정'!$H$8*((1+'대시보드_및_설정'!$I$8)/(1+'대시보드_및_설정'!$G$8))^($A33-1)</f>
        <v/>
      </c>
      <c r="Y33" s="45">
        <f>V33*'대시보드_및_설정'!$G$8+(FV((1+'대시보드_및_설정'!$G$8)^(1/12)-1,12,-$C33*'대시보드_및_설정'!$F$8,0,1)-W33)</f>
        <v/>
      </c>
      <c r="Z33" s="45">
        <f>(V33*X33+W33*X33*13/24)*(1-'대시보드_및_설정'!$C$10)</f>
        <v/>
      </c>
      <c r="AA33" s="45">
        <f>Z33*'대시보드_및_설정'!$C$9</f>
        <v/>
      </c>
      <c r="AB33" s="45">
        <f>Z33-AA33</f>
        <v/>
      </c>
      <c r="AC33" s="45">
        <f>V33+W33+Y33+AA33</f>
        <v/>
      </c>
      <c r="AD33" s="45">
        <f>AK32</f>
        <v/>
      </c>
      <c r="AE33" s="45">
        <f>$D33*'대시보드_및_설정'!$F$9</f>
        <v/>
      </c>
      <c r="AF33" s="46">
        <f>'대시보드_및_설정'!$H$9*((1+'대시보드_및_설정'!$I$9)/(1+'대시보드_및_설정'!$G$9))^($A33-1)</f>
        <v/>
      </c>
      <c r="AG33" s="45">
        <f>AD33*'대시보드_및_설정'!$G$9+(FV((1+'대시보드_및_설정'!$G$9)^(1/12)-1,12,-$C33*'대시보드_및_설정'!$F$9,0,1)-AE33)</f>
        <v/>
      </c>
      <c r="AH33" s="45">
        <f>(AD33*AF33+AE33*AF33*13/24)*(1-'대시보드_및_설정'!$C$10)</f>
        <v/>
      </c>
      <c r="AI33" s="45">
        <f>AH33*'대시보드_및_설정'!$C$9</f>
        <v/>
      </c>
      <c r="AJ33" s="45">
        <f>AH33-AI33</f>
        <v/>
      </c>
      <c r="AK33" s="45">
        <f>AD33+AE33+AG33+AI33</f>
        <v/>
      </c>
      <c r="AL33" s="45">
        <f>F33+N33+V33+AD33</f>
        <v/>
      </c>
      <c r="AM33" s="45">
        <f>G33+O33+W33+AE33</f>
        <v/>
      </c>
      <c r="AN33" s="45">
        <f>I33+Q33+Y33+AG33</f>
        <v/>
      </c>
      <c r="AO33" s="45">
        <f>J33+R33+Z33+AH33</f>
        <v/>
      </c>
      <c r="AP33" s="45">
        <f>K33+S33+AA33+AI33</f>
        <v/>
      </c>
      <c r="AQ33" s="45">
        <f>L33+T33+AB33+AJ33</f>
        <v/>
      </c>
      <c r="AR33" s="45">
        <f>AR32+AP33</f>
        <v/>
      </c>
      <c r="AS33" s="45">
        <f>AS32+AQ33</f>
        <v/>
      </c>
      <c r="AT33" s="47">
        <f>M33+U33+AC33+AK33</f>
        <v/>
      </c>
      <c r="AU33" s="45">
        <f>AO33/12</f>
        <v/>
      </c>
      <c r="AV33" s="48">
        <f>IFERROR((AT33+AS33)/E33-1,0)</f>
        <v/>
      </c>
    </row>
    <row r="34">
      <c r="A34" s="20" t="n">
        <v>29</v>
      </c>
      <c r="B34" s="32">
        <f>'대시보드_및_설정'!$C$11+A34</f>
        <v/>
      </c>
      <c r="C34" s="45">
        <f>'대시보드_및_설정'!$C$7*(1+'대시보드_및_설정'!$C$8)^(A34-1)</f>
        <v/>
      </c>
      <c r="D34" s="45">
        <f>C34*12</f>
        <v/>
      </c>
      <c r="E34" s="45">
        <f>E33+D34</f>
        <v/>
      </c>
      <c r="F34" s="45">
        <f>M33</f>
        <v/>
      </c>
      <c r="G34" s="45">
        <f>$D34*'대시보드_및_설정'!$F$6</f>
        <v/>
      </c>
      <c r="H34" s="46">
        <f>'대시보드_및_설정'!$H$6*((1+'대시보드_및_설정'!$I$6)/(1+'대시보드_및_설정'!$G$6))^($A34-1)</f>
        <v/>
      </c>
      <c r="I34" s="45">
        <f>F34*'대시보드_및_설정'!$G$6+(FV((1+'대시보드_및_설정'!$G$6)^(1/12)-1,12,-$C34*'대시보드_및_설정'!$F$6,0,1)-G34)</f>
        <v/>
      </c>
      <c r="J34" s="45">
        <f>(F34*H34+G34*H34*13/24)*(1-'대시보드_및_설정'!$C$10)</f>
        <v/>
      </c>
      <c r="K34" s="45">
        <f>J34*'대시보드_및_설정'!$C$9</f>
        <v/>
      </c>
      <c r="L34" s="45">
        <f>J34-K34</f>
        <v/>
      </c>
      <c r="M34" s="45">
        <f>F34+G34+I34+K34</f>
        <v/>
      </c>
      <c r="N34" s="45">
        <f>U33</f>
        <v/>
      </c>
      <c r="O34" s="45">
        <f>$D34*'대시보드_및_설정'!$F$7</f>
        <v/>
      </c>
      <c r="P34" s="46">
        <f>'대시보드_및_설정'!$H$7*((1+'대시보드_및_설정'!$I$7)/(1+'대시보드_및_설정'!$G$7))^($A34-1)</f>
        <v/>
      </c>
      <c r="Q34" s="45">
        <f>N34*'대시보드_및_설정'!$G$7+(FV((1+'대시보드_및_설정'!$G$7)^(1/12)-1,12,-$C34*'대시보드_및_설정'!$F$7,0,1)-O34)</f>
        <v/>
      </c>
      <c r="R34" s="45">
        <f>(N34*P34+O34*P34*13/24)*(1-'대시보드_및_설정'!$C$10)</f>
        <v/>
      </c>
      <c r="S34" s="45">
        <f>R34*'대시보드_및_설정'!$C$9</f>
        <v/>
      </c>
      <c r="T34" s="45">
        <f>R34-S34</f>
        <v/>
      </c>
      <c r="U34" s="45">
        <f>N34+O34+Q34+S34</f>
        <v/>
      </c>
      <c r="V34" s="45">
        <f>AC33</f>
        <v/>
      </c>
      <c r="W34" s="45">
        <f>$D34*'대시보드_및_설정'!$F$8</f>
        <v/>
      </c>
      <c r="X34" s="46">
        <f>'대시보드_및_설정'!$H$8*((1+'대시보드_및_설정'!$I$8)/(1+'대시보드_및_설정'!$G$8))^($A34-1)</f>
        <v/>
      </c>
      <c r="Y34" s="45">
        <f>V34*'대시보드_및_설정'!$G$8+(FV((1+'대시보드_및_설정'!$G$8)^(1/12)-1,12,-$C34*'대시보드_및_설정'!$F$8,0,1)-W34)</f>
        <v/>
      </c>
      <c r="Z34" s="45">
        <f>(V34*X34+W34*X34*13/24)*(1-'대시보드_및_설정'!$C$10)</f>
        <v/>
      </c>
      <c r="AA34" s="45">
        <f>Z34*'대시보드_및_설정'!$C$9</f>
        <v/>
      </c>
      <c r="AB34" s="45">
        <f>Z34-AA34</f>
        <v/>
      </c>
      <c r="AC34" s="45">
        <f>V34+W34+Y34+AA34</f>
        <v/>
      </c>
      <c r="AD34" s="45">
        <f>AK33</f>
        <v/>
      </c>
      <c r="AE34" s="45">
        <f>$D34*'대시보드_및_설정'!$F$9</f>
        <v/>
      </c>
      <c r="AF34" s="46">
        <f>'대시보드_및_설정'!$H$9*((1+'대시보드_및_설정'!$I$9)/(1+'대시보드_및_설정'!$G$9))^($A34-1)</f>
        <v/>
      </c>
      <c r="AG34" s="45">
        <f>AD34*'대시보드_및_설정'!$G$9+(FV((1+'대시보드_및_설정'!$G$9)^(1/12)-1,12,-$C34*'대시보드_및_설정'!$F$9,0,1)-AE34)</f>
        <v/>
      </c>
      <c r="AH34" s="45">
        <f>(AD34*AF34+AE34*AF34*13/24)*(1-'대시보드_및_설정'!$C$10)</f>
        <v/>
      </c>
      <c r="AI34" s="45">
        <f>AH34*'대시보드_및_설정'!$C$9</f>
        <v/>
      </c>
      <c r="AJ34" s="45">
        <f>AH34-AI34</f>
        <v/>
      </c>
      <c r="AK34" s="45">
        <f>AD34+AE34+AG34+AI34</f>
        <v/>
      </c>
      <c r="AL34" s="45">
        <f>F34+N34+V34+AD34</f>
        <v/>
      </c>
      <c r="AM34" s="45">
        <f>G34+O34+W34+AE34</f>
        <v/>
      </c>
      <c r="AN34" s="45">
        <f>I34+Q34+Y34+AG34</f>
        <v/>
      </c>
      <c r="AO34" s="45">
        <f>J34+R34+Z34+AH34</f>
        <v/>
      </c>
      <c r="AP34" s="45">
        <f>K34+S34+AA34+AI34</f>
        <v/>
      </c>
      <c r="AQ34" s="45">
        <f>L34+T34+AB34+AJ34</f>
        <v/>
      </c>
      <c r="AR34" s="45">
        <f>AR33+AP34</f>
        <v/>
      </c>
      <c r="AS34" s="45">
        <f>AS33+AQ34</f>
        <v/>
      </c>
      <c r="AT34" s="47">
        <f>M34+U34+AC34+AK34</f>
        <v/>
      </c>
      <c r="AU34" s="45">
        <f>AO34/12</f>
        <v/>
      </c>
      <c r="AV34" s="48">
        <f>IFERROR((AT34+AS34)/E34-1,0)</f>
        <v/>
      </c>
    </row>
    <row r="35">
      <c r="A35" s="20" t="n">
        <v>30</v>
      </c>
      <c r="B35" s="32">
        <f>'대시보드_및_설정'!$C$11+A35</f>
        <v/>
      </c>
      <c r="C35" s="45">
        <f>'대시보드_및_설정'!$C$7*(1+'대시보드_및_설정'!$C$8)^(A35-1)</f>
        <v/>
      </c>
      <c r="D35" s="45">
        <f>C35*12</f>
        <v/>
      </c>
      <c r="E35" s="45">
        <f>E34+D35</f>
        <v/>
      </c>
      <c r="F35" s="45">
        <f>M34</f>
        <v/>
      </c>
      <c r="G35" s="45">
        <f>$D35*'대시보드_및_설정'!$F$6</f>
        <v/>
      </c>
      <c r="H35" s="46">
        <f>'대시보드_및_설정'!$H$6*((1+'대시보드_및_설정'!$I$6)/(1+'대시보드_및_설정'!$G$6))^($A35-1)</f>
        <v/>
      </c>
      <c r="I35" s="45">
        <f>F35*'대시보드_및_설정'!$G$6+(FV((1+'대시보드_및_설정'!$G$6)^(1/12)-1,12,-$C35*'대시보드_및_설정'!$F$6,0,1)-G35)</f>
        <v/>
      </c>
      <c r="J35" s="45">
        <f>(F35*H35+G35*H35*13/24)*(1-'대시보드_및_설정'!$C$10)</f>
        <v/>
      </c>
      <c r="K35" s="45">
        <f>J35*'대시보드_및_설정'!$C$9</f>
        <v/>
      </c>
      <c r="L35" s="45">
        <f>J35-K35</f>
        <v/>
      </c>
      <c r="M35" s="45">
        <f>F35+G35+I35+K35</f>
        <v/>
      </c>
      <c r="N35" s="45">
        <f>U34</f>
        <v/>
      </c>
      <c r="O35" s="45">
        <f>$D35*'대시보드_및_설정'!$F$7</f>
        <v/>
      </c>
      <c r="P35" s="46">
        <f>'대시보드_및_설정'!$H$7*((1+'대시보드_및_설정'!$I$7)/(1+'대시보드_및_설정'!$G$7))^($A35-1)</f>
        <v/>
      </c>
      <c r="Q35" s="45">
        <f>N35*'대시보드_및_설정'!$G$7+(FV((1+'대시보드_및_설정'!$G$7)^(1/12)-1,12,-$C35*'대시보드_및_설정'!$F$7,0,1)-O35)</f>
        <v/>
      </c>
      <c r="R35" s="45">
        <f>(N35*P35+O35*P35*13/24)*(1-'대시보드_및_설정'!$C$10)</f>
        <v/>
      </c>
      <c r="S35" s="45">
        <f>R35*'대시보드_및_설정'!$C$9</f>
        <v/>
      </c>
      <c r="T35" s="45">
        <f>R35-S35</f>
        <v/>
      </c>
      <c r="U35" s="45">
        <f>N35+O35+Q35+S35</f>
        <v/>
      </c>
      <c r="V35" s="45">
        <f>AC34</f>
        <v/>
      </c>
      <c r="W35" s="45">
        <f>$D35*'대시보드_및_설정'!$F$8</f>
        <v/>
      </c>
      <c r="X35" s="46">
        <f>'대시보드_및_설정'!$H$8*((1+'대시보드_및_설정'!$I$8)/(1+'대시보드_및_설정'!$G$8))^($A35-1)</f>
        <v/>
      </c>
      <c r="Y35" s="45">
        <f>V35*'대시보드_및_설정'!$G$8+(FV((1+'대시보드_및_설정'!$G$8)^(1/12)-1,12,-$C35*'대시보드_및_설정'!$F$8,0,1)-W35)</f>
        <v/>
      </c>
      <c r="Z35" s="45">
        <f>(V35*X35+W35*X35*13/24)*(1-'대시보드_및_설정'!$C$10)</f>
        <v/>
      </c>
      <c r="AA35" s="45">
        <f>Z35*'대시보드_및_설정'!$C$9</f>
        <v/>
      </c>
      <c r="AB35" s="45">
        <f>Z35-AA35</f>
        <v/>
      </c>
      <c r="AC35" s="45">
        <f>V35+W35+Y35+AA35</f>
        <v/>
      </c>
      <c r="AD35" s="45">
        <f>AK34</f>
        <v/>
      </c>
      <c r="AE35" s="45">
        <f>$D35*'대시보드_및_설정'!$F$9</f>
        <v/>
      </c>
      <c r="AF35" s="46">
        <f>'대시보드_및_설정'!$H$9*((1+'대시보드_및_설정'!$I$9)/(1+'대시보드_및_설정'!$G$9))^($A35-1)</f>
        <v/>
      </c>
      <c r="AG35" s="45">
        <f>AD35*'대시보드_및_설정'!$G$9+(FV((1+'대시보드_및_설정'!$G$9)^(1/12)-1,12,-$C35*'대시보드_및_설정'!$F$9,0,1)-AE35)</f>
        <v/>
      </c>
      <c r="AH35" s="45">
        <f>(AD35*AF35+AE35*AF35*13/24)*(1-'대시보드_및_설정'!$C$10)</f>
        <v/>
      </c>
      <c r="AI35" s="45">
        <f>AH35*'대시보드_및_설정'!$C$9</f>
        <v/>
      </c>
      <c r="AJ35" s="45">
        <f>AH35-AI35</f>
        <v/>
      </c>
      <c r="AK35" s="45">
        <f>AD35+AE35+AG35+AI35</f>
        <v/>
      </c>
      <c r="AL35" s="45">
        <f>F35+N35+V35+AD35</f>
        <v/>
      </c>
      <c r="AM35" s="45">
        <f>G35+O35+W35+AE35</f>
        <v/>
      </c>
      <c r="AN35" s="45">
        <f>I35+Q35+Y35+AG35</f>
        <v/>
      </c>
      <c r="AO35" s="45">
        <f>J35+R35+Z35+AH35</f>
        <v/>
      </c>
      <c r="AP35" s="45">
        <f>K35+S35+AA35+AI35</f>
        <v/>
      </c>
      <c r="AQ35" s="45">
        <f>L35+T35+AB35+AJ35</f>
        <v/>
      </c>
      <c r="AR35" s="45">
        <f>AR34+AP35</f>
        <v/>
      </c>
      <c r="AS35" s="45">
        <f>AS34+AQ35</f>
        <v/>
      </c>
      <c r="AT35" s="47">
        <f>M35+U35+AC35+AK35</f>
        <v/>
      </c>
      <c r="AU35" s="45">
        <f>AO35/12</f>
        <v/>
      </c>
      <c r="AV35" s="48">
        <f>IFERROR((AT35+AS35)/E35-1,0)</f>
        <v/>
      </c>
    </row>
    <row r="36">
      <c r="A36" s="20" t="n">
        <v>31</v>
      </c>
      <c r="B36" s="32">
        <f>'대시보드_및_설정'!$C$11+A36</f>
        <v/>
      </c>
      <c r="C36" s="45">
        <f>'대시보드_및_설정'!$C$7*(1+'대시보드_및_설정'!$C$8)^(A36-1)</f>
        <v/>
      </c>
      <c r="D36" s="45">
        <f>C36*12</f>
        <v/>
      </c>
      <c r="E36" s="45">
        <f>E35+D36</f>
        <v/>
      </c>
      <c r="F36" s="45">
        <f>M35</f>
        <v/>
      </c>
      <c r="G36" s="45">
        <f>$D36*'대시보드_및_설정'!$F$6</f>
        <v/>
      </c>
      <c r="H36" s="46">
        <f>'대시보드_및_설정'!$H$6*((1+'대시보드_및_설정'!$I$6)/(1+'대시보드_및_설정'!$G$6))^($A36-1)</f>
        <v/>
      </c>
      <c r="I36" s="45">
        <f>F36*'대시보드_및_설정'!$G$6+(FV((1+'대시보드_및_설정'!$G$6)^(1/12)-1,12,-$C36*'대시보드_및_설정'!$F$6,0,1)-G36)</f>
        <v/>
      </c>
      <c r="J36" s="45">
        <f>(F36*H36+G36*H36*13/24)*(1-'대시보드_및_설정'!$C$10)</f>
        <v/>
      </c>
      <c r="K36" s="45">
        <f>J36*'대시보드_및_설정'!$C$9</f>
        <v/>
      </c>
      <c r="L36" s="45">
        <f>J36-K36</f>
        <v/>
      </c>
      <c r="M36" s="45">
        <f>F36+G36+I36+K36</f>
        <v/>
      </c>
      <c r="N36" s="45">
        <f>U35</f>
        <v/>
      </c>
      <c r="O36" s="45">
        <f>$D36*'대시보드_및_설정'!$F$7</f>
        <v/>
      </c>
      <c r="P36" s="46">
        <f>'대시보드_및_설정'!$H$7*((1+'대시보드_및_설정'!$I$7)/(1+'대시보드_및_설정'!$G$7))^($A36-1)</f>
        <v/>
      </c>
      <c r="Q36" s="45">
        <f>N36*'대시보드_및_설정'!$G$7+(FV((1+'대시보드_및_설정'!$G$7)^(1/12)-1,12,-$C36*'대시보드_및_설정'!$F$7,0,1)-O36)</f>
        <v/>
      </c>
      <c r="R36" s="45">
        <f>(N36*P36+O36*P36*13/24)*(1-'대시보드_및_설정'!$C$10)</f>
        <v/>
      </c>
      <c r="S36" s="45">
        <f>R36*'대시보드_및_설정'!$C$9</f>
        <v/>
      </c>
      <c r="T36" s="45">
        <f>R36-S36</f>
        <v/>
      </c>
      <c r="U36" s="45">
        <f>N36+O36+Q36+S36</f>
        <v/>
      </c>
      <c r="V36" s="45">
        <f>AC35</f>
        <v/>
      </c>
      <c r="W36" s="45">
        <f>$D36*'대시보드_및_설정'!$F$8</f>
        <v/>
      </c>
      <c r="X36" s="46">
        <f>'대시보드_및_설정'!$H$8*((1+'대시보드_및_설정'!$I$8)/(1+'대시보드_및_설정'!$G$8))^($A36-1)</f>
        <v/>
      </c>
      <c r="Y36" s="45">
        <f>V36*'대시보드_및_설정'!$G$8+(FV((1+'대시보드_및_설정'!$G$8)^(1/12)-1,12,-$C36*'대시보드_및_설정'!$F$8,0,1)-W36)</f>
        <v/>
      </c>
      <c r="Z36" s="45">
        <f>(V36*X36+W36*X36*13/24)*(1-'대시보드_및_설정'!$C$10)</f>
        <v/>
      </c>
      <c r="AA36" s="45">
        <f>Z36*'대시보드_및_설정'!$C$9</f>
        <v/>
      </c>
      <c r="AB36" s="45">
        <f>Z36-AA36</f>
        <v/>
      </c>
      <c r="AC36" s="45">
        <f>V36+W36+Y36+AA36</f>
        <v/>
      </c>
      <c r="AD36" s="45">
        <f>AK35</f>
        <v/>
      </c>
      <c r="AE36" s="45">
        <f>$D36*'대시보드_및_설정'!$F$9</f>
        <v/>
      </c>
      <c r="AF36" s="46">
        <f>'대시보드_및_설정'!$H$9*((1+'대시보드_및_설정'!$I$9)/(1+'대시보드_및_설정'!$G$9))^($A36-1)</f>
        <v/>
      </c>
      <c r="AG36" s="45">
        <f>AD36*'대시보드_및_설정'!$G$9+(FV((1+'대시보드_및_설정'!$G$9)^(1/12)-1,12,-$C36*'대시보드_및_설정'!$F$9,0,1)-AE36)</f>
        <v/>
      </c>
      <c r="AH36" s="45">
        <f>(AD36*AF36+AE36*AF36*13/24)*(1-'대시보드_및_설정'!$C$10)</f>
        <v/>
      </c>
      <c r="AI36" s="45">
        <f>AH36*'대시보드_및_설정'!$C$9</f>
        <v/>
      </c>
      <c r="AJ36" s="45">
        <f>AH36-AI36</f>
        <v/>
      </c>
      <c r="AK36" s="45">
        <f>AD36+AE36+AG36+AI36</f>
        <v/>
      </c>
      <c r="AL36" s="45">
        <f>F36+N36+V36+AD36</f>
        <v/>
      </c>
      <c r="AM36" s="45">
        <f>G36+O36+W36+AE36</f>
        <v/>
      </c>
      <c r="AN36" s="45">
        <f>I36+Q36+Y36+AG36</f>
        <v/>
      </c>
      <c r="AO36" s="45">
        <f>J36+R36+Z36+AH36</f>
        <v/>
      </c>
      <c r="AP36" s="45">
        <f>K36+S36+AA36+AI36</f>
        <v/>
      </c>
      <c r="AQ36" s="45">
        <f>L36+T36+AB36+AJ36</f>
        <v/>
      </c>
      <c r="AR36" s="45">
        <f>AR35+AP36</f>
        <v/>
      </c>
      <c r="AS36" s="45">
        <f>AS35+AQ36</f>
        <v/>
      </c>
      <c r="AT36" s="47">
        <f>M36+U36+AC36+AK36</f>
        <v/>
      </c>
      <c r="AU36" s="45">
        <f>AO36/12</f>
        <v/>
      </c>
      <c r="AV36" s="48">
        <f>IFERROR((AT36+AS36)/E36-1,0)</f>
        <v/>
      </c>
    </row>
    <row r="37">
      <c r="A37" s="20" t="n">
        <v>32</v>
      </c>
      <c r="B37" s="32">
        <f>'대시보드_및_설정'!$C$11+A37</f>
        <v/>
      </c>
      <c r="C37" s="45">
        <f>'대시보드_및_설정'!$C$7*(1+'대시보드_및_설정'!$C$8)^(A37-1)</f>
        <v/>
      </c>
      <c r="D37" s="45">
        <f>C37*12</f>
        <v/>
      </c>
      <c r="E37" s="45">
        <f>E36+D37</f>
        <v/>
      </c>
      <c r="F37" s="45">
        <f>M36</f>
        <v/>
      </c>
      <c r="G37" s="45">
        <f>$D37*'대시보드_및_설정'!$F$6</f>
        <v/>
      </c>
      <c r="H37" s="46">
        <f>'대시보드_및_설정'!$H$6*((1+'대시보드_및_설정'!$I$6)/(1+'대시보드_및_설정'!$G$6))^($A37-1)</f>
        <v/>
      </c>
      <c r="I37" s="45">
        <f>F37*'대시보드_및_설정'!$G$6+(FV((1+'대시보드_및_설정'!$G$6)^(1/12)-1,12,-$C37*'대시보드_및_설정'!$F$6,0,1)-G37)</f>
        <v/>
      </c>
      <c r="J37" s="45">
        <f>(F37*H37+G37*H37*13/24)*(1-'대시보드_및_설정'!$C$10)</f>
        <v/>
      </c>
      <c r="K37" s="45">
        <f>J37*'대시보드_및_설정'!$C$9</f>
        <v/>
      </c>
      <c r="L37" s="45">
        <f>J37-K37</f>
        <v/>
      </c>
      <c r="M37" s="45">
        <f>F37+G37+I37+K37</f>
        <v/>
      </c>
      <c r="N37" s="45">
        <f>U36</f>
        <v/>
      </c>
      <c r="O37" s="45">
        <f>$D37*'대시보드_및_설정'!$F$7</f>
        <v/>
      </c>
      <c r="P37" s="46">
        <f>'대시보드_및_설정'!$H$7*((1+'대시보드_및_설정'!$I$7)/(1+'대시보드_및_설정'!$G$7))^($A37-1)</f>
        <v/>
      </c>
      <c r="Q37" s="45">
        <f>N37*'대시보드_및_설정'!$G$7+(FV((1+'대시보드_및_설정'!$G$7)^(1/12)-1,12,-$C37*'대시보드_및_설정'!$F$7,0,1)-O37)</f>
        <v/>
      </c>
      <c r="R37" s="45">
        <f>(N37*P37+O37*P37*13/24)*(1-'대시보드_및_설정'!$C$10)</f>
        <v/>
      </c>
      <c r="S37" s="45">
        <f>R37*'대시보드_및_설정'!$C$9</f>
        <v/>
      </c>
      <c r="T37" s="45">
        <f>R37-S37</f>
        <v/>
      </c>
      <c r="U37" s="45">
        <f>N37+O37+Q37+S37</f>
        <v/>
      </c>
      <c r="V37" s="45">
        <f>AC36</f>
        <v/>
      </c>
      <c r="W37" s="45">
        <f>$D37*'대시보드_및_설정'!$F$8</f>
        <v/>
      </c>
      <c r="X37" s="46">
        <f>'대시보드_및_설정'!$H$8*((1+'대시보드_및_설정'!$I$8)/(1+'대시보드_및_설정'!$G$8))^($A37-1)</f>
        <v/>
      </c>
      <c r="Y37" s="45">
        <f>V37*'대시보드_및_설정'!$G$8+(FV((1+'대시보드_및_설정'!$G$8)^(1/12)-1,12,-$C37*'대시보드_및_설정'!$F$8,0,1)-W37)</f>
        <v/>
      </c>
      <c r="Z37" s="45">
        <f>(V37*X37+W37*X37*13/24)*(1-'대시보드_및_설정'!$C$10)</f>
        <v/>
      </c>
      <c r="AA37" s="45">
        <f>Z37*'대시보드_및_설정'!$C$9</f>
        <v/>
      </c>
      <c r="AB37" s="45">
        <f>Z37-AA37</f>
        <v/>
      </c>
      <c r="AC37" s="45">
        <f>V37+W37+Y37+AA37</f>
        <v/>
      </c>
      <c r="AD37" s="45">
        <f>AK36</f>
        <v/>
      </c>
      <c r="AE37" s="45">
        <f>$D37*'대시보드_및_설정'!$F$9</f>
        <v/>
      </c>
      <c r="AF37" s="46">
        <f>'대시보드_및_설정'!$H$9*((1+'대시보드_및_설정'!$I$9)/(1+'대시보드_및_설정'!$G$9))^($A37-1)</f>
        <v/>
      </c>
      <c r="AG37" s="45">
        <f>AD37*'대시보드_및_설정'!$G$9+(FV((1+'대시보드_및_설정'!$G$9)^(1/12)-1,12,-$C37*'대시보드_및_설정'!$F$9,0,1)-AE37)</f>
        <v/>
      </c>
      <c r="AH37" s="45">
        <f>(AD37*AF37+AE37*AF37*13/24)*(1-'대시보드_및_설정'!$C$10)</f>
        <v/>
      </c>
      <c r="AI37" s="45">
        <f>AH37*'대시보드_및_설정'!$C$9</f>
        <v/>
      </c>
      <c r="AJ37" s="45">
        <f>AH37-AI37</f>
        <v/>
      </c>
      <c r="AK37" s="45">
        <f>AD37+AE37+AG37+AI37</f>
        <v/>
      </c>
      <c r="AL37" s="45">
        <f>F37+N37+V37+AD37</f>
        <v/>
      </c>
      <c r="AM37" s="45">
        <f>G37+O37+W37+AE37</f>
        <v/>
      </c>
      <c r="AN37" s="45">
        <f>I37+Q37+Y37+AG37</f>
        <v/>
      </c>
      <c r="AO37" s="45">
        <f>J37+R37+Z37+AH37</f>
        <v/>
      </c>
      <c r="AP37" s="45">
        <f>K37+S37+AA37+AI37</f>
        <v/>
      </c>
      <c r="AQ37" s="45">
        <f>L37+T37+AB37+AJ37</f>
        <v/>
      </c>
      <c r="AR37" s="45">
        <f>AR36+AP37</f>
        <v/>
      </c>
      <c r="AS37" s="45">
        <f>AS36+AQ37</f>
        <v/>
      </c>
      <c r="AT37" s="47">
        <f>M37+U37+AC37+AK37</f>
        <v/>
      </c>
      <c r="AU37" s="45">
        <f>AO37/12</f>
        <v/>
      </c>
      <c r="AV37" s="48">
        <f>IFERROR((AT37+AS37)/E37-1,0)</f>
        <v/>
      </c>
    </row>
    <row r="38">
      <c r="A38" s="20" t="n">
        <v>33</v>
      </c>
      <c r="B38" s="32">
        <f>'대시보드_및_설정'!$C$11+A38</f>
        <v/>
      </c>
      <c r="C38" s="45">
        <f>'대시보드_및_설정'!$C$7*(1+'대시보드_및_설정'!$C$8)^(A38-1)</f>
        <v/>
      </c>
      <c r="D38" s="45">
        <f>C38*12</f>
        <v/>
      </c>
      <c r="E38" s="45">
        <f>E37+D38</f>
        <v/>
      </c>
      <c r="F38" s="45">
        <f>M37</f>
        <v/>
      </c>
      <c r="G38" s="45">
        <f>$D38*'대시보드_및_설정'!$F$6</f>
        <v/>
      </c>
      <c r="H38" s="46">
        <f>'대시보드_및_설정'!$H$6*((1+'대시보드_및_설정'!$I$6)/(1+'대시보드_및_설정'!$G$6))^($A38-1)</f>
        <v/>
      </c>
      <c r="I38" s="45">
        <f>F38*'대시보드_및_설정'!$G$6+(FV((1+'대시보드_및_설정'!$G$6)^(1/12)-1,12,-$C38*'대시보드_및_설정'!$F$6,0,1)-G38)</f>
        <v/>
      </c>
      <c r="J38" s="45">
        <f>(F38*H38+G38*H38*13/24)*(1-'대시보드_및_설정'!$C$10)</f>
        <v/>
      </c>
      <c r="K38" s="45">
        <f>J38*'대시보드_및_설정'!$C$9</f>
        <v/>
      </c>
      <c r="L38" s="45">
        <f>J38-K38</f>
        <v/>
      </c>
      <c r="M38" s="45">
        <f>F38+G38+I38+K38</f>
        <v/>
      </c>
      <c r="N38" s="45">
        <f>U37</f>
        <v/>
      </c>
      <c r="O38" s="45">
        <f>$D38*'대시보드_및_설정'!$F$7</f>
        <v/>
      </c>
      <c r="P38" s="46">
        <f>'대시보드_및_설정'!$H$7*((1+'대시보드_및_설정'!$I$7)/(1+'대시보드_및_설정'!$G$7))^($A38-1)</f>
        <v/>
      </c>
      <c r="Q38" s="45">
        <f>N38*'대시보드_및_설정'!$G$7+(FV((1+'대시보드_및_설정'!$G$7)^(1/12)-1,12,-$C38*'대시보드_및_설정'!$F$7,0,1)-O38)</f>
        <v/>
      </c>
      <c r="R38" s="45">
        <f>(N38*P38+O38*P38*13/24)*(1-'대시보드_및_설정'!$C$10)</f>
        <v/>
      </c>
      <c r="S38" s="45">
        <f>R38*'대시보드_및_설정'!$C$9</f>
        <v/>
      </c>
      <c r="T38" s="45">
        <f>R38-S38</f>
        <v/>
      </c>
      <c r="U38" s="45">
        <f>N38+O38+Q38+S38</f>
        <v/>
      </c>
      <c r="V38" s="45">
        <f>AC37</f>
        <v/>
      </c>
      <c r="W38" s="45">
        <f>$D38*'대시보드_및_설정'!$F$8</f>
        <v/>
      </c>
      <c r="X38" s="46">
        <f>'대시보드_및_설정'!$H$8*((1+'대시보드_및_설정'!$I$8)/(1+'대시보드_및_설정'!$G$8))^($A38-1)</f>
        <v/>
      </c>
      <c r="Y38" s="45">
        <f>V38*'대시보드_및_설정'!$G$8+(FV((1+'대시보드_및_설정'!$G$8)^(1/12)-1,12,-$C38*'대시보드_및_설정'!$F$8,0,1)-W38)</f>
        <v/>
      </c>
      <c r="Z38" s="45">
        <f>(V38*X38+W38*X38*13/24)*(1-'대시보드_및_설정'!$C$10)</f>
        <v/>
      </c>
      <c r="AA38" s="45">
        <f>Z38*'대시보드_및_설정'!$C$9</f>
        <v/>
      </c>
      <c r="AB38" s="45">
        <f>Z38-AA38</f>
        <v/>
      </c>
      <c r="AC38" s="45">
        <f>V38+W38+Y38+AA38</f>
        <v/>
      </c>
      <c r="AD38" s="45">
        <f>AK37</f>
        <v/>
      </c>
      <c r="AE38" s="45">
        <f>$D38*'대시보드_및_설정'!$F$9</f>
        <v/>
      </c>
      <c r="AF38" s="46">
        <f>'대시보드_및_설정'!$H$9*((1+'대시보드_및_설정'!$I$9)/(1+'대시보드_및_설정'!$G$9))^($A38-1)</f>
        <v/>
      </c>
      <c r="AG38" s="45">
        <f>AD38*'대시보드_및_설정'!$G$9+(FV((1+'대시보드_및_설정'!$G$9)^(1/12)-1,12,-$C38*'대시보드_및_설정'!$F$9,0,1)-AE38)</f>
        <v/>
      </c>
      <c r="AH38" s="45">
        <f>(AD38*AF38+AE38*AF38*13/24)*(1-'대시보드_및_설정'!$C$10)</f>
        <v/>
      </c>
      <c r="AI38" s="45">
        <f>AH38*'대시보드_및_설정'!$C$9</f>
        <v/>
      </c>
      <c r="AJ38" s="45">
        <f>AH38-AI38</f>
        <v/>
      </c>
      <c r="AK38" s="45">
        <f>AD38+AE38+AG38+AI38</f>
        <v/>
      </c>
      <c r="AL38" s="45">
        <f>F38+N38+V38+AD38</f>
        <v/>
      </c>
      <c r="AM38" s="45">
        <f>G38+O38+W38+AE38</f>
        <v/>
      </c>
      <c r="AN38" s="45">
        <f>I38+Q38+Y38+AG38</f>
        <v/>
      </c>
      <c r="AO38" s="45">
        <f>J38+R38+Z38+AH38</f>
        <v/>
      </c>
      <c r="AP38" s="45">
        <f>K38+S38+AA38+AI38</f>
        <v/>
      </c>
      <c r="AQ38" s="45">
        <f>L38+T38+AB38+AJ38</f>
        <v/>
      </c>
      <c r="AR38" s="45">
        <f>AR37+AP38</f>
        <v/>
      </c>
      <c r="AS38" s="45">
        <f>AS37+AQ38</f>
        <v/>
      </c>
      <c r="AT38" s="47">
        <f>M38+U38+AC38+AK38</f>
        <v/>
      </c>
      <c r="AU38" s="45">
        <f>AO38/12</f>
        <v/>
      </c>
      <c r="AV38" s="48">
        <f>IFERROR((AT38+AS38)/E38-1,0)</f>
        <v/>
      </c>
    </row>
    <row r="39">
      <c r="A39" s="20" t="n">
        <v>34</v>
      </c>
      <c r="B39" s="32">
        <f>'대시보드_및_설정'!$C$11+A39</f>
        <v/>
      </c>
      <c r="C39" s="45">
        <f>'대시보드_및_설정'!$C$7*(1+'대시보드_및_설정'!$C$8)^(A39-1)</f>
        <v/>
      </c>
      <c r="D39" s="45">
        <f>C39*12</f>
        <v/>
      </c>
      <c r="E39" s="45">
        <f>E38+D39</f>
        <v/>
      </c>
      <c r="F39" s="45">
        <f>M38</f>
        <v/>
      </c>
      <c r="G39" s="45">
        <f>$D39*'대시보드_및_설정'!$F$6</f>
        <v/>
      </c>
      <c r="H39" s="46">
        <f>'대시보드_및_설정'!$H$6*((1+'대시보드_및_설정'!$I$6)/(1+'대시보드_및_설정'!$G$6))^($A39-1)</f>
        <v/>
      </c>
      <c r="I39" s="45">
        <f>F39*'대시보드_및_설정'!$G$6+(FV((1+'대시보드_및_설정'!$G$6)^(1/12)-1,12,-$C39*'대시보드_및_설정'!$F$6,0,1)-G39)</f>
        <v/>
      </c>
      <c r="J39" s="45">
        <f>(F39*H39+G39*H39*13/24)*(1-'대시보드_및_설정'!$C$10)</f>
        <v/>
      </c>
      <c r="K39" s="45">
        <f>J39*'대시보드_및_설정'!$C$9</f>
        <v/>
      </c>
      <c r="L39" s="45">
        <f>J39-K39</f>
        <v/>
      </c>
      <c r="M39" s="45">
        <f>F39+G39+I39+K39</f>
        <v/>
      </c>
      <c r="N39" s="45">
        <f>U38</f>
        <v/>
      </c>
      <c r="O39" s="45">
        <f>$D39*'대시보드_및_설정'!$F$7</f>
        <v/>
      </c>
      <c r="P39" s="46">
        <f>'대시보드_및_설정'!$H$7*((1+'대시보드_및_설정'!$I$7)/(1+'대시보드_및_설정'!$G$7))^($A39-1)</f>
        <v/>
      </c>
      <c r="Q39" s="45">
        <f>N39*'대시보드_및_설정'!$G$7+(FV((1+'대시보드_및_설정'!$G$7)^(1/12)-1,12,-$C39*'대시보드_및_설정'!$F$7,0,1)-O39)</f>
        <v/>
      </c>
      <c r="R39" s="45">
        <f>(N39*P39+O39*P39*13/24)*(1-'대시보드_및_설정'!$C$10)</f>
        <v/>
      </c>
      <c r="S39" s="45">
        <f>R39*'대시보드_및_설정'!$C$9</f>
        <v/>
      </c>
      <c r="T39" s="45">
        <f>R39-S39</f>
        <v/>
      </c>
      <c r="U39" s="45">
        <f>N39+O39+Q39+S39</f>
        <v/>
      </c>
      <c r="V39" s="45">
        <f>AC38</f>
        <v/>
      </c>
      <c r="W39" s="45">
        <f>$D39*'대시보드_및_설정'!$F$8</f>
        <v/>
      </c>
      <c r="X39" s="46">
        <f>'대시보드_및_설정'!$H$8*((1+'대시보드_및_설정'!$I$8)/(1+'대시보드_및_설정'!$G$8))^($A39-1)</f>
        <v/>
      </c>
      <c r="Y39" s="45">
        <f>V39*'대시보드_및_설정'!$G$8+(FV((1+'대시보드_및_설정'!$G$8)^(1/12)-1,12,-$C39*'대시보드_및_설정'!$F$8,0,1)-W39)</f>
        <v/>
      </c>
      <c r="Z39" s="45">
        <f>(V39*X39+W39*X39*13/24)*(1-'대시보드_및_설정'!$C$10)</f>
        <v/>
      </c>
      <c r="AA39" s="45">
        <f>Z39*'대시보드_및_설정'!$C$9</f>
        <v/>
      </c>
      <c r="AB39" s="45">
        <f>Z39-AA39</f>
        <v/>
      </c>
      <c r="AC39" s="45">
        <f>V39+W39+Y39+AA39</f>
        <v/>
      </c>
      <c r="AD39" s="45">
        <f>AK38</f>
        <v/>
      </c>
      <c r="AE39" s="45">
        <f>$D39*'대시보드_및_설정'!$F$9</f>
        <v/>
      </c>
      <c r="AF39" s="46">
        <f>'대시보드_및_설정'!$H$9*((1+'대시보드_및_설정'!$I$9)/(1+'대시보드_및_설정'!$G$9))^($A39-1)</f>
        <v/>
      </c>
      <c r="AG39" s="45">
        <f>AD39*'대시보드_및_설정'!$G$9+(FV((1+'대시보드_및_설정'!$G$9)^(1/12)-1,12,-$C39*'대시보드_및_설정'!$F$9,0,1)-AE39)</f>
        <v/>
      </c>
      <c r="AH39" s="45">
        <f>(AD39*AF39+AE39*AF39*13/24)*(1-'대시보드_및_설정'!$C$10)</f>
        <v/>
      </c>
      <c r="AI39" s="45">
        <f>AH39*'대시보드_및_설정'!$C$9</f>
        <v/>
      </c>
      <c r="AJ39" s="45">
        <f>AH39-AI39</f>
        <v/>
      </c>
      <c r="AK39" s="45">
        <f>AD39+AE39+AG39+AI39</f>
        <v/>
      </c>
      <c r="AL39" s="45">
        <f>F39+N39+V39+AD39</f>
        <v/>
      </c>
      <c r="AM39" s="45">
        <f>G39+O39+W39+AE39</f>
        <v/>
      </c>
      <c r="AN39" s="45">
        <f>I39+Q39+Y39+AG39</f>
        <v/>
      </c>
      <c r="AO39" s="45">
        <f>J39+R39+Z39+AH39</f>
        <v/>
      </c>
      <c r="AP39" s="45">
        <f>K39+S39+AA39+AI39</f>
        <v/>
      </c>
      <c r="AQ39" s="45">
        <f>L39+T39+AB39+AJ39</f>
        <v/>
      </c>
      <c r="AR39" s="45">
        <f>AR38+AP39</f>
        <v/>
      </c>
      <c r="AS39" s="45">
        <f>AS38+AQ39</f>
        <v/>
      </c>
      <c r="AT39" s="47">
        <f>M39+U39+AC39+AK39</f>
        <v/>
      </c>
      <c r="AU39" s="45">
        <f>AO39/12</f>
        <v/>
      </c>
      <c r="AV39" s="48">
        <f>IFERROR((AT39+AS39)/E39-1,0)</f>
        <v/>
      </c>
    </row>
    <row r="40">
      <c r="A40" s="20" t="n">
        <v>35</v>
      </c>
      <c r="B40" s="32">
        <f>'대시보드_및_설정'!$C$11+A40</f>
        <v/>
      </c>
      <c r="C40" s="45">
        <f>'대시보드_및_설정'!$C$7*(1+'대시보드_및_설정'!$C$8)^(A40-1)</f>
        <v/>
      </c>
      <c r="D40" s="45">
        <f>C40*12</f>
        <v/>
      </c>
      <c r="E40" s="45">
        <f>E39+D40</f>
        <v/>
      </c>
      <c r="F40" s="45">
        <f>M39</f>
        <v/>
      </c>
      <c r="G40" s="45">
        <f>$D40*'대시보드_및_설정'!$F$6</f>
        <v/>
      </c>
      <c r="H40" s="46">
        <f>'대시보드_및_설정'!$H$6*((1+'대시보드_및_설정'!$I$6)/(1+'대시보드_및_설정'!$G$6))^($A40-1)</f>
        <v/>
      </c>
      <c r="I40" s="45">
        <f>F40*'대시보드_및_설정'!$G$6+(FV((1+'대시보드_및_설정'!$G$6)^(1/12)-1,12,-$C40*'대시보드_및_설정'!$F$6,0,1)-G40)</f>
        <v/>
      </c>
      <c r="J40" s="45">
        <f>(F40*H40+G40*H40*13/24)*(1-'대시보드_및_설정'!$C$10)</f>
        <v/>
      </c>
      <c r="K40" s="45">
        <f>J40*'대시보드_및_설정'!$C$9</f>
        <v/>
      </c>
      <c r="L40" s="45">
        <f>J40-K40</f>
        <v/>
      </c>
      <c r="M40" s="45">
        <f>F40+G40+I40+K40</f>
        <v/>
      </c>
      <c r="N40" s="45">
        <f>U39</f>
        <v/>
      </c>
      <c r="O40" s="45">
        <f>$D40*'대시보드_및_설정'!$F$7</f>
        <v/>
      </c>
      <c r="P40" s="46">
        <f>'대시보드_및_설정'!$H$7*((1+'대시보드_및_설정'!$I$7)/(1+'대시보드_및_설정'!$G$7))^($A40-1)</f>
        <v/>
      </c>
      <c r="Q40" s="45">
        <f>N40*'대시보드_및_설정'!$G$7+(FV((1+'대시보드_및_설정'!$G$7)^(1/12)-1,12,-$C40*'대시보드_및_설정'!$F$7,0,1)-O40)</f>
        <v/>
      </c>
      <c r="R40" s="45">
        <f>(N40*P40+O40*P40*13/24)*(1-'대시보드_및_설정'!$C$10)</f>
        <v/>
      </c>
      <c r="S40" s="45">
        <f>R40*'대시보드_및_설정'!$C$9</f>
        <v/>
      </c>
      <c r="T40" s="45">
        <f>R40-S40</f>
        <v/>
      </c>
      <c r="U40" s="45">
        <f>N40+O40+Q40+S40</f>
        <v/>
      </c>
      <c r="V40" s="45">
        <f>AC39</f>
        <v/>
      </c>
      <c r="W40" s="45">
        <f>$D40*'대시보드_및_설정'!$F$8</f>
        <v/>
      </c>
      <c r="X40" s="46">
        <f>'대시보드_및_설정'!$H$8*((1+'대시보드_및_설정'!$I$8)/(1+'대시보드_및_설정'!$G$8))^($A40-1)</f>
        <v/>
      </c>
      <c r="Y40" s="45">
        <f>V40*'대시보드_및_설정'!$G$8+(FV((1+'대시보드_및_설정'!$G$8)^(1/12)-1,12,-$C40*'대시보드_및_설정'!$F$8,0,1)-W40)</f>
        <v/>
      </c>
      <c r="Z40" s="45">
        <f>(V40*X40+W40*X40*13/24)*(1-'대시보드_및_설정'!$C$10)</f>
        <v/>
      </c>
      <c r="AA40" s="45">
        <f>Z40*'대시보드_및_설정'!$C$9</f>
        <v/>
      </c>
      <c r="AB40" s="45">
        <f>Z40-AA40</f>
        <v/>
      </c>
      <c r="AC40" s="45">
        <f>V40+W40+Y40+AA40</f>
        <v/>
      </c>
      <c r="AD40" s="45">
        <f>AK39</f>
        <v/>
      </c>
      <c r="AE40" s="45">
        <f>$D40*'대시보드_및_설정'!$F$9</f>
        <v/>
      </c>
      <c r="AF40" s="46">
        <f>'대시보드_및_설정'!$H$9*((1+'대시보드_및_설정'!$I$9)/(1+'대시보드_및_설정'!$G$9))^($A40-1)</f>
        <v/>
      </c>
      <c r="AG40" s="45">
        <f>AD40*'대시보드_및_설정'!$G$9+(FV((1+'대시보드_및_설정'!$G$9)^(1/12)-1,12,-$C40*'대시보드_및_설정'!$F$9,0,1)-AE40)</f>
        <v/>
      </c>
      <c r="AH40" s="45">
        <f>(AD40*AF40+AE40*AF40*13/24)*(1-'대시보드_및_설정'!$C$10)</f>
        <v/>
      </c>
      <c r="AI40" s="45">
        <f>AH40*'대시보드_및_설정'!$C$9</f>
        <v/>
      </c>
      <c r="AJ40" s="45">
        <f>AH40-AI40</f>
        <v/>
      </c>
      <c r="AK40" s="45">
        <f>AD40+AE40+AG40+AI40</f>
        <v/>
      </c>
      <c r="AL40" s="45">
        <f>F40+N40+V40+AD40</f>
        <v/>
      </c>
      <c r="AM40" s="45">
        <f>G40+O40+W40+AE40</f>
        <v/>
      </c>
      <c r="AN40" s="45">
        <f>I40+Q40+Y40+AG40</f>
        <v/>
      </c>
      <c r="AO40" s="45">
        <f>J40+R40+Z40+AH40</f>
        <v/>
      </c>
      <c r="AP40" s="45">
        <f>K40+S40+AA40+AI40</f>
        <v/>
      </c>
      <c r="AQ40" s="45">
        <f>L40+T40+AB40+AJ40</f>
        <v/>
      </c>
      <c r="AR40" s="45">
        <f>AR39+AP40</f>
        <v/>
      </c>
      <c r="AS40" s="45">
        <f>AS39+AQ40</f>
        <v/>
      </c>
      <c r="AT40" s="47">
        <f>M40+U40+AC40+AK40</f>
        <v/>
      </c>
      <c r="AU40" s="45">
        <f>AO40/12</f>
        <v/>
      </c>
      <c r="AV40" s="48">
        <f>IFERROR((AT40+AS40)/E40-1,0)</f>
        <v/>
      </c>
    </row>
    <row r="41">
      <c r="A41" s="20" t="n">
        <v>36</v>
      </c>
      <c r="B41" s="32">
        <f>'대시보드_및_설정'!$C$11+A41</f>
        <v/>
      </c>
      <c r="C41" s="45">
        <f>'대시보드_및_설정'!$C$7*(1+'대시보드_및_설정'!$C$8)^(A41-1)</f>
        <v/>
      </c>
      <c r="D41" s="45">
        <f>C41*12</f>
        <v/>
      </c>
      <c r="E41" s="45">
        <f>E40+D41</f>
        <v/>
      </c>
      <c r="F41" s="45">
        <f>M40</f>
        <v/>
      </c>
      <c r="G41" s="45">
        <f>$D41*'대시보드_및_설정'!$F$6</f>
        <v/>
      </c>
      <c r="H41" s="46">
        <f>'대시보드_및_설정'!$H$6*((1+'대시보드_및_설정'!$I$6)/(1+'대시보드_및_설정'!$G$6))^($A41-1)</f>
        <v/>
      </c>
      <c r="I41" s="45">
        <f>F41*'대시보드_및_설정'!$G$6+(FV((1+'대시보드_및_설정'!$G$6)^(1/12)-1,12,-$C41*'대시보드_및_설정'!$F$6,0,1)-G41)</f>
        <v/>
      </c>
      <c r="J41" s="45">
        <f>(F41*H41+G41*H41*13/24)*(1-'대시보드_및_설정'!$C$10)</f>
        <v/>
      </c>
      <c r="K41" s="45">
        <f>J41*'대시보드_및_설정'!$C$9</f>
        <v/>
      </c>
      <c r="L41" s="45">
        <f>J41-K41</f>
        <v/>
      </c>
      <c r="M41" s="45">
        <f>F41+G41+I41+K41</f>
        <v/>
      </c>
      <c r="N41" s="45">
        <f>U40</f>
        <v/>
      </c>
      <c r="O41" s="45">
        <f>$D41*'대시보드_및_설정'!$F$7</f>
        <v/>
      </c>
      <c r="P41" s="46">
        <f>'대시보드_및_설정'!$H$7*((1+'대시보드_및_설정'!$I$7)/(1+'대시보드_및_설정'!$G$7))^($A41-1)</f>
        <v/>
      </c>
      <c r="Q41" s="45">
        <f>N41*'대시보드_및_설정'!$G$7+(FV((1+'대시보드_및_설정'!$G$7)^(1/12)-1,12,-$C41*'대시보드_및_설정'!$F$7,0,1)-O41)</f>
        <v/>
      </c>
      <c r="R41" s="45">
        <f>(N41*P41+O41*P41*13/24)*(1-'대시보드_및_설정'!$C$10)</f>
        <v/>
      </c>
      <c r="S41" s="45">
        <f>R41*'대시보드_및_설정'!$C$9</f>
        <v/>
      </c>
      <c r="T41" s="45">
        <f>R41-S41</f>
        <v/>
      </c>
      <c r="U41" s="45">
        <f>N41+O41+Q41+S41</f>
        <v/>
      </c>
      <c r="V41" s="45">
        <f>AC40</f>
        <v/>
      </c>
      <c r="W41" s="45">
        <f>$D41*'대시보드_및_설정'!$F$8</f>
        <v/>
      </c>
      <c r="X41" s="46">
        <f>'대시보드_및_설정'!$H$8*((1+'대시보드_및_설정'!$I$8)/(1+'대시보드_및_설정'!$G$8))^($A41-1)</f>
        <v/>
      </c>
      <c r="Y41" s="45">
        <f>V41*'대시보드_및_설정'!$G$8+(FV((1+'대시보드_및_설정'!$G$8)^(1/12)-1,12,-$C41*'대시보드_및_설정'!$F$8,0,1)-W41)</f>
        <v/>
      </c>
      <c r="Z41" s="45">
        <f>(V41*X41+W41*X41*13/24)*(1-'대시보드_및_설정'!$C$10)</f>
        <v/>
      </c>
      <c r="AA41" s="45">
        <f>Z41*'대시보드_및_설정'!$C$9</f>
        <v/>
      </c>
      <c r="AB41" s="45">
        <f>Z41-AA41</f>
        <v/>
      </c>
      <c r="AC41" s="45">
        <f>V41+W41+Y41+AA41</f>
        <v/>
      </c>
      <c r="AD41" s="45">
        <f>AK40</f>
        <v/>
      </c>
      <c r="AE41" s="45">
        <f>$D41*'대시보드_및_설정'!$F$9</f>
        <v/>
      </c>
      <c r="AF41" s="46">
        <f>'대시보드_및_설정'!$H$9*((1+'대시보드_및_설정'!$I$9)/(1+'대시보드_및_설정'!$G$9))^($A41-1)</f>
        <v/>
      </c>
      <c r="AG41" s="45">
        <f>AD41*'대시보드_및_설정'!$G$9+(FV((1+'대시보드_및_설정'!$G$9)^(1/12)-1,12,-$C41*'대시보드_및_설정'!$F$9,0,1)-AE41)</f>
        <v/>
      </c>
      <c r="AH41" s="45">
        <f>(AD41*AF41+AE41*AF41*13/24)*(1-'대시보드_및_설정'!$C$10)</f>
        <v/>
      </c>
      <c r="AI41" s="45">
        <f>AH41*'대시보드_및_설정'!$C$9</f>
        <v/>
      </c>
      <c r="AJ41" s="45">
        <f>AH41-AI41</f>
        <v/>
      </c>
      <c r="AK41" s="45">
        <f>AD41+AE41+AG41+AI41</f>
        <v/>
      </c>
      <c r="AL41" s="45">
        <f>F41+N41+V41+AD41</f>
        <v/>
      </c>
      <c r="AM41" s="45">
        <f>G41+O41+W41+AE41</f>
        <v/>
      </c>
      <c r="AN41" s="45">
        <f>I41+Q41+Y41+AG41</f>
        <v/>
      </c>
      <c r="AO41" s="45">
        <f>J41+R41+Z41+AH41</f>
        <v/>
      </c>
      <c r="AP41" s="45">
        <f>K41+S41+AA41+AI41</f>
        <v/>
      </c>
      <c r="AQ41" s="45">
        <f>L41+T41+AB41+AJ41</f>
        <v/>
      </c>
      <c r="AR41" s="45">
        <f>AR40+AP41</f>
        <v/>
      </c>
      <c r="AS41" s="45">
        <f>AS40+AQ41</f>
        <v/>
      </c>
      <c r="AT41" s="47">
        <f>M41+U41+AC41+AK41</f>
        <v/>
      </c>
      <c r="AU41" s="45">
        <f>AO41/12</f>
        <v/>
      </c>
      <c r="AV41" s="48">
        <f>IFERROR((AT41+AS41)/E41-1,0)</f>
        <v/>
      </c>
    </row>
    <row r="42">
      <c r="A42" s="20" t="n">
        <v>37</v>
      </c>
      <c r="B42" s="32">
        <f>'대시보드_및_설정'!$C$11+A42</f>
        <v/>
      </c>
      <c r="C42" s="45">
        <f>'대시보드_및_설정'!$C$7*(1+'대시보드_및_설정'!$C$8)^(A42-1)</f>
        <v/>
      </c>
      <c r="D42" s="45">
        <f>C42*12</f>
        <v/>
      </c>
      <c r="E42" s="45">
        <f>E41+D42</f>
        <v/>
      </c>
      <c r="F42" s="45">
        <f>M41</f>
        <v/>
      </c>
      <c r="G42" s="45">
        <f>$D42*'대시보드_및_설정'!$F$6</f>
        <v/>
      </c>
      <c r="H42" s="46">
        <f>'대시보드_및_설정'!$H$6*((1+'대시보드_및_설정'!$I$6)/(1+'대시보드_및_설정'!$G$6))^($A42-1)</f>
        <v/>
      </c>
      <c r="I42" s="45">
        <f>F42*'대시보드_및_설정'!$G$6+(FV((1+'대시보드_및_설정'!$G$6)^(1/12)-1,12,-$C42*'대시보드_및_설정'!$F$6,0,1)-G42)</f>
        <v/>
      </c>
      <c r="J42" s="45">
        <f>(F42*H42+G42*H42*13/24)*(1-'대시보드_및_설정'!$C$10)</f>
        <v/>
      </c>
      <c r="K42" s="45">
        <f>J42*'대시보드_및_설정'!$C$9</f>
        <v/>
      </c>
      <c r="L42" s="45">
        <f>J42-K42</f>
        <v/>
      </c>
      <c r="M42" s="45">
        <f>F42+G42+I42+K42</f>
        <v/>
      </c>
      <c r="N42" s="45">
        <f>U41</f>
        <v/>
      </c>
      <c r="O42" s="45">
        <f>$D42*'대시보드_및_설정'!$F$7</f>
        <v/>
      </c>
      <c r="P42" s="46">
        <f>'대시보드_및_설정'!$H$7*((1+'대시보드_및_설정'!$I$7)/(1+'대시보드_및_설정'!$G$7))^($A42-1)</f>
        <v/>
      </c>
      <c r="Q42" s="45">
        <f>N42*'대시보드_및_설정'!$G$7+(FV((1+'대시보드_및_설정'!$G$7)^(1/12)-1,12,-$C42*'대시보드_및_설정'!$F$7,0,1)-O42)</f>
        <v/>
      </c>
      <c r="R42" s="45">
        <f>(N42*P42+O42*P42*13/24)*(1-'대시보드_및_설정'!$C$10)</f>
        <v/>
      </c>
      <c r="S42" s="45">
        <f>R42*'대시보드_및_설정'!$C$9</f>
        <v/>
      </c>
      <c r="T42" s="45">
        <f>R42-S42</f>
        <v/>
      </c>
      <c r="U42" s="45">
        <f>N42+O42+Q42+S42</f>
        <v/>
      </c>
      <c r="V42" s="45">
        <f>AC41</f>
        <v/>
      </c>
      <c r="W42" s="45">
        <f>$D42*'대시보드_및_설정'!$F$8</f>
        <v/>
      </c>
      <c r="X42" s="46">
        <f>'대시보드_및_설정'!$H$8*((1+'대시보드_및_설정'!$I$8)/(1+'대시보드_및_설정'!$G$8))^($A42-1)</f>
        <v/>
      </c>
      <c r="Y42" s="45">
        <f>V42*'대시보드_및_설정'!$G$8+(FV((1+'대시보드_및_설정'!$G$8)^(1/12)-1,12,-$C42*'대시보드_및_설정'!$F$8,0,1)-W42)</f>
        <v/>
      </c>
      <c r="Z42" s="45">
        <f>(V42*X42+W42*X42*13/24)*(1-'대시보드_및_설정'!$C$10)</f>
        <v/>
      </c>
      <c r="AA42" s="45">
        <f>Z42*'대시보드_및_설정'!$C$9</f>
        <v/>
      </c>
      <c r="AB42" s="45">
        <f>Z42-AA42</f>
        <v/>
      </c>
      <c r="AC42" s="45">
        <f>V42+W42+Y42+AA42</f>
        <v/>
      </c>
      <c r="AD42" s="45">
        <f>AK41</f>
        <v/>
      </c>
      <c r="AE42" s="45">
        <f>$D42*'대시보드_및_설정'!$F$9</f>
        <v/>
      </c>
      <c r="AF42" s="46">
        <f>'대시보드_및_설정'!$H$9*((1+'대시보드_및_설정'!$I$9)/(1+'대시보드_및_설정'!$G$9))^($A42-1)</f>
        <v/>
      </c>
      <c r="AG42" s="45">
        <f>AD42*'대시보드_및_설정'!$G$9+(FV((1+'대시보드_및_설정'!$G$9)^(1/12)-1,12,-$C42*'대시보드_및_설정'!$F$9,0,1)-AE42)</f>
        <v/>
      </c>
      <c r="AH42" s="45">
        <f>(AD42*AF42+AE42*AF42*13/24)*(1-'대시보드_및_설정'!$C$10)</f>
        <v/>
      </c>
      <c r="AI42" s="45">
        <f>AH42*'대시보드_및_설정'!$C$9</f>
        <v/>
      </c>
      <c r="AJ42" s="45">
        <f>AH42-AI42</f>
        <v/>
      </c>
      <c r="AK42" s="45">
        <f>AD42+AE42+AG42+AI42</f>
        <v/>
      </c>
      <c r="AL42" s="45">
        <f>F42+N42+V42+AD42</f>
        <v/>
      </c>
      <c r="AM42" s="45">
        <f>G42+O42+W42+AE42</f>
        <v/>
      </c>
      <c r="AN42" s="45">
        <f>I42+Q42+Y42+AG42</f>
        <v/>
      </c>
      <c r="AO42" s="45">
        <f>J42+R42+Z42+AH42</f>
        <v/>
      </c>
      <c r="AP42" s="45">
        <f>K42+S42+AA42+AI42</f>
        <v/>
      </c>
      <c r="AQ42" s="45">
        <f>L42+T42+AB42+AJ42</f>
        <v/>
      </c>
      <c r="AR42" s="45">
        <f>AR41+AP42</f>
        <v/>
      </c>
      <c r="AS42" s="45">
        <f>AS41+AQ42</f>
        <v/>
      </c>
      <c r="AT42" s="47">
        <f>M42+U42+AC42+AK42</f>
        <v/>
      </c>
      <c r="AU42" s="45">
        <f>AO42/12</f>
        <v/>
      </c>
      <c r="AV42" s="48">
        <f>IFERROR((AT42+AS42)/E42-1,0)</f>
        <v/>
      </c>
    </row>
    <row r="43">
      <c r="A43" s="20" t="n">
        <v>38</v>
      </c>
      <c r="B43" s="32">
        <f>'대시보드_및_설정'!$C$11+A43</f>
        <v/>
      </c>
      <c r="C43" s="45">
        <f>'대시보드_및_설정'!$C$7*(1+'대시보드_및_설정'!$C$8)^(A43-1)</f>
        <v/>
      </c>
      <c r="D43" s="45">
        <f>C43*12</f>
        <v/>
      </c>
      <c r="E43" s="45">
        <f>E42+D43</f>
        <v/>
      </c>
      <c r="F43" s="45">
        <f>M42</f>
        <v/>
      </c>
      <c r="G43" s="45">
        <f>$D43*'대시보드_및_설정'!$F$6</f>
        <v/>
      </c>
      <c r="H43" s="46">
        <f>'대시보드_및_설정'!$H$6*((1+'대시보드_및_설정'!$I$6)/(1+'대시보드_및_설정'!$G$6))^($A43-1)</f>
        <v/>
      </c>
      <c r="I43" s="45">
        <f>F43*'대시보드_및_설정'!$G$6+(FV((1+'대시보드_및_설정'!$G$6)^(1/12)-1,12,-$C43*'대시보드_및_설정'!$F$6,0,1)-G43)</f>
        <v/>
      </c>
      <c r="J43" s="45">
        <f>(F43*H43+G43*H43*13/24)*(1-'대시보드_및_설정'!$C$10)</f>
        <v/>
      </c>
      <c r="K43" s="45">
        <f>J43*'대시보드_및_설정'!$C$9</f>
        <v/>
      </c>
      <c r="L43" s="45">
        <f>J43-K43</f>
        <v/>
      </c>
      <c r="M43" s="45">
        <f>F43+G43+I43+K43</f>
        <v/>
      </c>
      <c r="N43" s="45">
        <f>U42</f>
        <v/>
      </c>
      <c r="O43" s="45">
        <f>$D43*'대시보드_및_설정'!$F$7</f>
        <v/>
      </c>
      <c r="P43" s="46">
        <f>'대시보드_및_설정'!$H$7*((1+'대시보드_및_설정'!$I$7)/(1+'대시보드_및_설정'!$G$7))^($A43-1)</f>
        <v/>
      </c>
      <c r="Q43" s="45">
        <f>N43*'대시보드_및_설정'!$G$7+(FV((1+'대시보드_및_설정'!$G$7)^(1/12)-1,12,-$C43*'대시보드_및_설정'!$F$7,0,1)-O43)</f>
        <v/>
      </c>
      <c r="R43" s="45">
        <f>(N43*P43+O43*P43*13/24)*(1-'대시보드_및_설정'!$C$10)</f>
        <v/>
      </c>
      <c r="S43" s="45">
        <f>R43*'대시보드_및_설정'!$C$9</f>
        <v/>
      </c>
      <c r="T43" s="45">
        <f>R43-S43</f>
        <v/>
      </c>
      <c r="U43" s="45">
        <f>N43+O43+Q43+S43</f>
        <v/>
      </c>
      <c r="V43" s="45">
        <f>AC42</f>
        <v/>
      </c>
      <c r="W43" s="45">
        <f>$D43*'대시보드_및_설정'!$F$8</f>
        <v/>
      </c>
      <c r="X43" s="46">
        <f>'대시보드_및_설정'!$H$8*((1+'대시보드_및_설정'!$I$8)/(1+'대시보드_및_설정'!$G$8))^($A43-1)</f>
        <v/>
      </c>
      <c r="Y43" s="45">
        <f>V43*'대시보드_및_설정'!$G$8+(FV((1+'대시보드_및_설정'!$G$8)^(1/12)-1,12,-$C43*'대시보드_및_설정'!$F$8,0,1)-W43)</f>
        <v/>
      </c>
      <c r="Z43" s="45">
        <f>(V43*X43+W43*X43*13/24)*(1-'대시보드_및_설정'!$C$10)</f>
        <v/>
      </c>
      <c r="AA43" s="45">
        <f>Z43*'대시보드_및_설정'!$C$9</f>
        <v/>
      </c>
      <c r="AB43" s="45">
        <f>Z43-AA43</f>
        <v/>
      </c>
      <c r="AC43" s="45">
        <f>V43+W43+Y43+AA43</f>
        <v/>
      </c>
      <c r="AD43" s="45">
        <f>AK42</f>
        <v/>
      </c>
      <c r="AE43" s="45">
        <f>$D43*'대시보드_및_설정'!$F$9</f>
        <v/>
      </c>
      <c r="AF43" s="46">
        <f>'대시보드_및_설정'!$H$9*((1+'대시보드_및_설정'!$I$9)/(1+'대시보드_및_설정'!$G$9))^($A43-1)</f>
        <v/>
      </c>
      <c r="AG43" s="45">
        <f>AD43*'대시보드_및_설정'!$G$9+(FV((1+'대시보드_및_설정'!$G$9)^(1/12)-1,12,-$C43*'대시보드_및_설정'!$F$9,0,1)-AE43)</f>
        <v/>
      </c>
      <c r="AH43" s="45">
        <f>(AD43*AF43+AE43*AF43*13/24)*(1-'대시보드_및_설정'!$C$10)</f>
        <v/>
      </c>
      <c r="AI43" s="45">
        <f>AH43*'대시보드_및_설정'!$C$9</f>
        <v/>
      </c>
      <c r="AJ43" s="45">
        <f>AH43-AI43</f>
        <v/>
      </c>
      <c r="AK43" s="45">
        <f>AD43+AE43+AG43+AI43</f>
        <v/>
      </c>
      <c r="AL43" s="45">
        <f>F43+N43+V43+AD43</f>
        <v/>
      </c>
      <c r="AM43" s="45">
        <f>G43+O43+W43+AE43</f>
        <v/>
      </c>
      <c r="AN43" s="45">
        <f>I43+Q43+Y43+AG43</f>
        <v/>
      </c>
      <c r="AO43" s="45">
        <f>J43+R43+Z43+AH43</f>
        <v/>
      </c>
      <c r="AP43" s="45">
        <f>K43+S43+AA43+AI43</f>
        <v/>
      </c>
      <c r="AQ43" s="45">
        <f>L43+T43+AB43+AJ43</f>
        <v/>
      </c>
      <c r="AR43" s="45">
        <f>AR42+AP43</f>
        <v/>
      </c>
      <c r="AS43" s="45">
        <f>AS42+AQ43</f>
        <v/>
      </c>
      <c r="AT43" s="47">
        <f>M43+U43+AC43+AK43</f>
        <v/>
      </c>
      <c r="AU43" s="45">
        <f>AO43/12</f>
        <v/>
      </c>
      <c r="AV43" s="48">
        <f>IFERROR((AT43+AS43)/E43-1,0)</f>
        <v/>
      </c>
    </row>
    <row r="44">
      <c r="A44" s="20" t="n">
        <v>39</v>
      </c>
      <c r="B44" s="32">
        <f>'대시보드_및_설정'!$C$11+A44</f>
        <v/>
      </c>
      <c r="C44" s="45">
        <f>'대시보드_및_설정'!$C$7*(1+'대시보드_및_설정'!$C$8)^(A44-1)</f>
        <v/>
      </c>
      <c r="D44" s="45">
        <f>C44*12</f>
        <v/>
      </c>
      <c r="E44" s="45">
        <f>E43+D44</f>
        <v/>
      </c>
      <c r="F44" s="45">
        <f>M43</f>
        <v/>
      </c>
      <c r="G44" s="45">
        <f>$D44*'대시보드_및_설정'!$F$6</f>
        <v/>
      </c>
      <c r="H44" s="46">
        <f>'대시보드_및_설정'!$H$6*((1+'대시보드_및_설정'!$I$6)/(1+'대시보드_및_설정'!$G$6))^($A44-1)</f>
        <v/>
      </c>
      <c r="I44" s="45">
        <f>F44*'대시보드_및_설정'!$G$6+(FV((1+'대시보드_및_설정'!$G$6)^(1/12)-1,12,-$C44*'대시보드_및_설정'!$F$6,0,1)-G44)</f>
        <v/>
      </c>
      <c r="J44" s="45">
        <f>(F44*H44+G44*H44*13/24)*(1-'대시보드_및_설정'!$C$10)</f>
        <v/>
      </c>
      <c r="K44" s="45">
        <f>J44*'대시보드_및_설정'!$C$9</f>
        <v/>
      </c>
      <c r="L44" s="45">
        <f>J44-K44</f>
        <v/>
      </c>
      <c r="M44" s="45">
        <f>F44+G44+I44+K44</f>
        <v/>
      </c>
      <c r="N44" s="45">
        <f>U43</f>
        <v/>
      </c>
      <c r="O44" s="45">
        <f>$D44*'대시보드_및_설정'!$F$7</f>
        <v/>
      </c>
      <c r="P44" s="46">
        <f>'대시보드_및_설정'!$H$7*((1+'대시보드_및_설정'!$I$7)/(1+'대시보드_및_설정'!$G$7))^($A44-1)</f>
        <v/>
      </c>
      <c r="Q44" s="45">
        <f>N44*'대시보드_및_설정'!$G$7+(FV((1+'대시보드_및_설정'!$G$7)^(1/12)-1,12,-$C44*'대시보드_및_설정'!$F$7,0,1)-O44)</f>
        <v/>
      </c>
      <c r="R44" s="45">
        <f>(N44*P44+O44*P44*13/24)*(1-'대시보드_및_설정'!$C$10)</f>
        <v/>
      </c>
      <c r="S44" s="45">
        <f>R44*'대시보드_및_설정'!$C$9</f>
        <v/>
      </c>
      <c r="T44" s="45">
        <f>R44-S44</f>
        <v/>
      </c>
      <c r="U44" s="45">
        <f>N44+O44+Q44+S44</f>
        <v/>
      </c>
      <c r="V44" s="45">
        <f>AC43</f>
        <v/>
      </c>
      <c r="W44" s="45">
        <f>$D44*'대시보드_및_설정'!$F$8</f>
        <v/>
      </c>
      <c r="X44" s="46">
        <f>'대시보드_및_설정'!$H$8*((1+'대시보드_및_설정'!$I$8)/(1+'대시보드_및_설정'!$G$8))^($A44-1)</f>
        <v/>
      </c>
      <c r="Y44" s="45">
        <f>V44*'대시보드_및_설정'!$G$8+(FV((1+'대시보드_및_설정'!$G$8)^(1/12)-1,12,-$C44*'대시보드_및_설정'!$F$8,0,1)-W44)</f>
        <v/>
      </c>
      <c r="Z44" s="45">
        <f>(V44*X44+W44*X44*13/24)*(1-'대시보드_및_설정'!$C$10)</f>
        <v/>
      </c>
      <c r="AA44" s="45">
        <f>Z44*'대시보드_및_설정'!$C$9</f>
        <v/>
      </c>
      <c r="AB44" s="45">
        <f>Z44-AA44</f>
        <v/>
      </c>
      <c r="AC44" s="45">
        <f>V44+W44+Y44+AA44</f>
        <v/>
      </c>
      <c r="AD44" s="45">
        <f>AK43</f>
        <v/>
      </c>
      <c r="AE44" s="45">
        <f>$D44*'대시보드_및_설정'!$F$9</f>
        <v/>
      </c>
      <c r="AF44" s="46">
        <f>'대시보드_및_설정'!$H$9*((1+'대시보드_및_설정'!$I$9)/(1+'대시보드_및_설정'!$G$9))^($A44-1)</f>
        <v/>
      </c>
      <c r="AG44" s="45">
        <f>AD44*'대시보드_및_설정'!$G$9+(FV((1+'대시보드_및_설정'!$G$9)^(1/12)-1,12,-$C44*'대시보드_및_설정'!$F$9,0,1)-AE44)</f>
        <v/>
      </c>
      <c r="AH44" s="45">
        <f>(AD44*AF44+AE44*AF44*13/24)*(1-'대시보드_및_설정'!$C$10)</f>
        <v/>
      </c>
      <c r="AI44" s="45">
        <f>AH44*'대시보드_및_설정'!$C$9</f>
        <v/>
      </c>
      <c r="AJ44" s="45">
        <f>AH44-AI44</f>
        <v/>
      </c>
      <c r="AK44" s="45">
        <f>AD44+AE44+AG44+AI44</f>
        <v/>
      </c>
      <c r="AL44" s="45">
        <f>F44+N44+V44+AD44</f>
        <v/>
      </c>
      <c r="AM44" s="45">
        <f>G44+O44+W44+AE44</f>
        <v/>
      </c>
      <c r="AN44" s="45">
        <f>I44+Q44+Y44+AG44</f>
        <v/>
      </c>
      <c r="AO44" s="45">
        <f>J44+R44+Z44+AH44</f>
        <v/>
      </c>
      <c r="AP44" s="45">
        <f>K44+S44+AA44+AI44</f>
        <v/>
      </c>
      <c r="AQ44" s="45">
        <f>L44+T44+AB44+AJ44</f>
        <v/>
      </c>
      <c r="AR44" s="45">
        <f>AR43+AP44</f>
        <v/>
      </c>
      <c r="AS44" s="45">
        <f>AS43+AQ44</f>
        <v/>
      </c>
      <c r="AT44" s="47">
        <f>M44+U44+AC44+AK44</f>
        <v/>
      </c>
      <c r="AU44" s="45">
        <f>AO44/12</f>
        <v/>
      </c>
      <c r="AV44" s="48">
        <f>IFERROR((AT44+AS44)/E44-1,0)</f>
        <v/>
      </c>
    </row>
    <row r="45">
      <c r="A45" s="20" t="n">
        <v>40</v>
      </c>
      <c r="B45" s="32">
        <f>'대시보드_및_설정'!$C$11+A45</f>
        <v/>
      </c>
      <c r="C45" s="45">
        <f>'대시보드_및_설정'!$C$7*(1+'대시보드_및_설정'!$C$8)^(A45-1)</f>
        <v/>
      </c>
      <c r="D45" s="45">
        <f>C45*12</f>
        <v/>
      </c>
      <c r="E45" s="45">
        <f>E44+D45</f>
        <v/>
      </c>
      <c r="F45" s="45">
        <f>M44</f>
        <v/>
      </c>
      <c r="G45" s="45">
        <f>$D45*'대시보드_및_설정'!$F$6</f>
        <v/>
      </c>
      <c r="H45" s="46">
        <f>'대시보드_및_설정'!$H$6*((1+'대시보드_및_설정'!$I$6)/(1+'대시보드_및_설정'!$G$6))^($A45-1)</f>
        <v/>
      </c>
      <c r="I45" s="45">
        <f>F45*'대시보드_및_설정'!$G$6+(FV((1+'대시보드_및_설정'!$G$6)^(1/12)-1,12,-$C45*'대시보드_및_설정'!$F$6,0,1)-G45)</f>
        <v/>
      </c>
      <c r="J45" s="45">
        <f>(F45*H45+G45*H45*13/24)*(1-'대시보드_및_설정'!$C$10)</f>
        <v/>
      </c>
      <c r="K45" s="45">
        <f>J45*'대시보드_및_설정'!$C$9</f>
        <v/>
      </c>
      <c r="L45" s="45">
        <f>J45-K45</f>
        <v/>
      </c>
      <c r="M45" s="45">
        <f>F45+G45+I45+K45</f>
        <v/>
      </c>
      <c r="N45" s="45">
        <f>U44</f>
        <v/>
      </c>
      <c r="O45" s="45">
        <f>$D45*'대시보드_및_설정'!$F$7</f>
        <v/>
      </c>
      <c r="P45" s="46">
        <f>'대시보드_및_설정'!$H$7*((1+'대시보드_및_설정'!$I$7)/(1+'대시보드_및_설정'!$G$7))^($A45-1)</f>
        <v/>
      </c>
      <c r="Q45" s="45">
        <f>N45*'대시보드_및_설정'!$G$7+(FV((1+'대시보드_및_설정'!$G$7)^(1/12)-1,12,-$C45*'대시보드_및_설정'!$F$7,0,1)-O45)</f>
        <v/>
      </c>
      <c r="R45" s="45">
        <f>(N45*P45+O45*P45*13/24)*(1-'대시보드_및_설정'!$C$10)</f>
        <v/>
      </c>
      <c r="S45" s="45">
        <f>R45*'대시보드_및_설정'!$C$9</f>
        <v/>
      </c>
      <c r="T45" s="45">
        <f>R45-S45</f>
        <v/>
      </c>
      <c r="U45" s="45">
        <f>N45+O45+Q45+S45</f>
        <v/>
      </c>
      <c r="V45" s="45">
        <f>AC44</f>
        <v/>
      </c>
      <c r="W45" s="45">
        <f>$D45*'대시보드_및_설정'!$F$8</f>
        <v/>
      </c>
      <c r="X45" s="46">
        <f>'대시보드_및_설정'!$H$8*((1+'대시보드_및_설정'!$I$8)/(1+'대시보드_및_설정'!$G$8))^($A45-1)</f>
        <v/>
      </c>
      <c r="Y45" s="45">
        <f>V45*'대시보드_및_설정'!$G$8+(FV((1+'대시보드_및_설정'!$G$8)^(1/12)-1,12,-$C45*'대시보드_및_설정'!$F$8,0,1)-W45)</f>
        <v/>
      </c>
      <c r="Z45" s="45">
        <f>(V45*X45+W45*X45*13/24)*(1-'대시보드_및_설정'!$C$10)</f>
        <v/>
      </c>
      <c r="AA45" s="45">
        <f>Z45*'대시보드_및_설정'!$C$9</f>
        <v/>
      </c>
      <c r="AB45" s="45">
        <f>Z45-AA45</f>
        <v/>
      </c>
      <c r="AC45" s="45">
        <f>V45+W45+Y45+AA45</f>
        <v/>
      </c>
      <c r="AD45" s="45">
        <f>AK44</f>
        <v/>
      </c>
      <c r="AE45" s="45">
        <f>$D45*'대시보드_및_설정'!$F$9</f>
        <v/>
      </c>
      <c r="AF45" s="46">
        <f>'대시보드_및_설정'!$H$9*((1+'대시보드_및_설정'!$I$9)/(1+'대시보드_및_설정'!$G$9))^($A45-1)</f>
        <v/>
      </c>
      <c r="AG45" s="45">
        <f>AD45*'대시보드_및_설정'!$G$9+(FV((1+'대시보드_및_설정'!$G$9)^(1/12)-1,12,-$C45*'대시보드_및_설정'!$F$9,0,1)-AE45)</f>
        <v/>
      </c>
      <c r="AH45" s="45">
        <f>(AD45*AF45+AE45*AF45*13/24)*(1-'대시보드_및_설정'!$C$10)</f>
        <v/>
      </c>
      <c r="AI45" s="45">
        <f>AH45*'대시보드_및_설정'!$C$9</f>
        <v/>
      </c>
      <c r="AJ45" s="45">
        <f>AH45-AI45</f>
        <v/>
      </c>
      <c r="AK45" s="45">
        <f>AD45+AE45+AG45+AI45</f>
        <v/>
      </c>
      <c r="AL45" s="45">
        <f>F45+N45+V45+AD45</f>
        <v/>
      </c>
      <c r="AM45" s="45">
        <f>G45+O45+W45+AE45</f>
        <v/>
      </c>
      <c r="AN45" s="45">
        <f>I45+Q45+Y45+AG45</f>
        <v/>
      </c>
      <c r="AO45" s="45">
        <f>J45+R45+Z45+AH45</f>
        <v/>
      </c>
      <c r="AP45" s="45">
        <f>K45+S45+AA45+AI45</f>
        <v/>
      </c>
      <c r="AQ45" s="45">
        <f>L45+T45+AB45+AJ45</f>
        <v/>
      </c>
      <c r="AR45" s="45">
        <f>AR44+AP45</f>
        <v/>
      </c>
      <c r="AS45" s="45">
        <f>AS44+AQ45</f>
        <v/>
      </c>
      <c r="AT45" s="47">
        <f>M45+U45+AC45+AK45</f>
        <v/>
      </c>
      <c r="AU45" s="45">
        <f>AO45/12</f>
        <v/>
      </c>
      <c r="AV45" s="48">
        <f>IFERROR((AT45+AS45)/E45-1,0)</f>
        <v/>
      </c>
    </row>
    <row r="46">
      <c r="A46" s="20" t="n">
        <v>41</v>
      </c>
      <c r="B46" s="32">
        <f>'대시보드_및_설정'!$C$11+A46</f>
        <v/>
      </c>
      <c r="C46" s="45">
        <f>'대시보드_및_설정'!$C$7*(1+'대시보드_및_설정'!$C$8)^(A46-1)</f>
        <v/>
      </c>
      <c r="D46" s="45">
        <f>C46*12</f>
        <v/>
      </c>
      <c r="E46" s="45">
        <f>E45+D46</f>
        <v/>
      </c>
      <c r="F46" s="45">
        <f>M45</f>
        <v/>
      </c>
      <c r="G46" s="45">
        <f>$D46*'대시보드_및_설정'!$F$6</f>
        <v/>
      </c>
      <c r="H46" s="46">
        <f>'대시보드_및_설정'!$H$6*((1+'대시보드_및_설정'!$I$6)/(1+'대시보드_및_설정'!$G$6))^($A46-1)</f>
        <v/>
      </c>
      <c r="I46" s="45">
        <f>F46*'대시보드_및_설정'!$G$6+(FV((1+'대시보드_및_설정'!$G$6)^(1/12)-1,12,-$C46*'대시보드_및_설정'!$F$6,0,1)-G46)</f>
        <v/>
      </c>
      <c r="J46" s="45">
        <f>(F46*H46+G46*H46*13/24)*(1-'대시보드_및_설정'!$C$10)</f>
        <v/>
      </c>
      <c r="K46" s="45">
        <f>J46*'대시보드_및_설정'!$C$9</f>
        <v/>
      </c>
      <c r="L46" s="45">
        <f>J46-K46</f>
        <v/>
      </c>
      <c r="M46" s="45">
        <f>F46+G46+I46+K46</f>
        <v/>
      </c>
      <c r="N46" s="45">
        <f>U45</f>
        <v/>
      </c>
      <c r="O46" s="45">
        <f>$D46*'대시보드_및_설정'!$F$7</f>
        <v/>
      </c>
      <c r="P46" s="46">
        <f>'대시보드_및_설정'!$H$7*((1+'대시보드_및_설정'!$I$7)/(1+'대시보드_및_설정'!$G$7))^($A46-1)</f>
        <v/>
      </c>
      <c r="Q46" s="45">
        <f>N46*'대시보드_및_설정'!$G$7+(FV((1+'대시보드_및_설정'!$G$7)^(1/12)-1,12,-$C46*'대시보드_및_설정'!$F$7,0,1)-O46)</f>
        <v/>
      </c>
      <c r="R46" s="45">
        <f>(N46*P46+O46*P46*13/24)*(1-'대시보드_및_설정'!$C$10)</f>
        <v/>
      </c>
      <c r="S46" s="45">
        <f>R46*'대시보드_및_설정'!$C$9</f>
        <v/>
      </c>
      <c r="T46" s="45">
        <f>R46-S46</f>
        <v/>
      </c>
      <c r="U46" s="45">
        <f>N46+O46+Q46+S46</f>
        <v/>
      </c>
      <c r="V46" s="45">
        <f>AC45</f>
        <v/>
      </c>
      <c r="W46" s="45">
        <f>$D46*'대시보드_및_설정'!$F$8</f>
        <v/>
      </c>
      <c r="X46" s="46">
        <f>'대시보드_및_설정'!$H$8*((1+'대시보드_및_설정'!$I$8)/(1+'대시보드_및_설정'!$G$8))^($A46-1)</f>
        <v/>
      </c>
      <c r="Y46" s="45">
        <f>V46*'대시보드_및_설정'!$G$8+(FV((1+'대시보드_및_설정'!$G$8)^(1/12)-1,12,-$C46*'대시보드_및_설정'!$F$8,0,1)-W46)</f>
        <v/>
      </c>
      <c r="Z46" s="45">
        <f>(V46*X46+W46*X46*13/24)*(1-'대시보드_및_설정'!$C$10)</f>
        <v/>
      </c>
      <c r="AA46" s="45">
        <f>Z46*'대시보드_및_설정'!$C$9</f>
        <v/>
      </c>
      <c r="AB46" s="45">
        <f>Z46-AA46</f>
        <v/>
      </c>
      <c r="AC46" s="45">
        <f>V46+W46+Y46+AA46</f>
        <v/>
      </c>
      <c r="AD46" s="45">
        <f>AK45</f>
        <v/>
      </c>
      <c r="AE46" s="45">
        <f>$D46*'대시보드_및_설정'!$F$9</f>
        <v/>
      </c>
      <c r="AF46" s="46">
        <f>'대시보드_및_설정'!$H$9*((1+'대시보드_및_설정'!$I$9)/(1+'대시보드_및_설정'!$G$9))^($A46-1)</f>
        <v/>
      </c>
      <c r="AG46" s="45">
        <f>AD46*'대시보드_및_설정'!$G$9+(FV((1+'대시보드_및_설정'!$G$9)^(1/12)-1,12,-$C46*'대시보드_및_설정'!$F$9,0,1)-AE46)</f>
        <v/>
      </c>
      <c r="AH46" s="45">
        <f>(AD46*AF46+AE46*AF46*13/24)*(1-'대시보드_및_설정'!$C$10)</f>
        <v/>
      </c>
      <c r="AI46" s="45">
        <f>AH46*'대시보드_및_설정'!$C$9</f>
        <v/>
      </c>
      <c r="AJ46" s="45">
        <f>AH46-AI46</f>
        <v/>
      </c>
      <c r="AK46" s="45">
        <f>AD46+AE46+AG46+AI46</f>
        <v/>
      </c>
      <c r="AL46" s="45">
        <f>F46+N46+V46+AD46</f>
        <v/>
      </c>
      <c r="AM46" s="45">
        <f>G46+O46+W46+AE46</f>
        <v/>
      </c>
      <c r="AN46" s="45">
        <f>I46+Q46+Y46+AG46</f>
        <v/>
      </c>
      <c r="AO46" s="45">
        <f>J46+R46+Z46+AH46</f>
        <v/>
      </c>
      <c r="AP46" s="45">
        <f>K46+S46+AA46+AI46</f>
        <v/>
      </c>
      <c r="AQ46" s="45">
        <f>L46+T46+AB46+AJ46</f>
        <v/>
      </c>
      <c r="AR46" s="45">
        <f>AR45+AP46</f>
        <v/>
      </c>
      <c r="AS46" s="45">
        <f>AS45+AQ46</f>
        <v/>
      </c>
      <c r="AT46" s="47">
        <f>M46+U46+AC46+AK46</f>
        <v/>
      </c>
      <c r="AU46" s="45">
        <f>AO46/12</f>
        <v/>
      </c>
      <c r="AV46" s="48">
        <f>IFERROR((AT46+AS46)/E46-1,0)</f>
        <v/>
      </c>
    </row>
    <row r="47">
      <c r="A47" s="20" t="n">
        <v>42</v>
      </c>
      <c r="B47" s="32">
        <f>'대시보드_및_설정'!$C$11+A47</f>
        <v/>
      </c>
      <c r="C47" s="45">
        <f>'대시보드_및_설정'!$C$7*(1+'대시보드_및_설정'!$C$8)^(A47-1)</f>
        <v/>
      </c>
      <c r="D47" s="45">
        <f>C47*12</f>
        <v/>
      </c>
      <c r="E47" s="45">
        <f>E46+D47</f>
        <v/>
      </c>
      <c r="F47" s="45">
        <f>M46</f>
        <v/>
      </c>
      <c r="G47" s="45">
        <f>$D47*'대시보드_및_설정'!$F$6</f>
        <v/>
      </c>
      <c r="H47" s="46">
        <f>'대시보드_및_설정'!$H$6*((1+'대시보드_및_설정'!$I$6)/(1+'대시보드_및_설정'!$G$6))^($A47-1)</f>
        <v/>
      </c>
      <c r="I47" s="45">
        <f>F47*'대시보드_및_설정'!$G$6+(FV((1+'대시보드_및_설정'!$G$6)^(1/12)-1,12,-$C47*'대시보드_및_설정'!$F$6,0,1)-G47)</f>
        <v/>
      </c>
      <c r="J47" s="45">
        <f>(F47*H47+G47*H47*13/24)*(1-'대시보드_및_설정'!$C$10)</f>
        <v/>
      </c>
      <c r="K47" s="45">
        <f>J47*'대시보드_및_설정'!$C$9</f>
        <v/>
      </c>
      <c r="L47" s="45">
        <f>J47-K47</f>
        <v/>
      </c>
      <c r="M47" s="45">
        <f>F47+G47+I47+K47</f>
        <v/>
      </c>
      <c r="N47" s="45">
        <f>U46</f>
        <v/>
      </c>
      <c r="O47" s="45">
        <f>$D47*'대시보드_및_설정'!$F$7</f>
        <v/>
      </c>
      <c r="P47" s="46">
        <f>'대시보드_및_설정'!$H$7*((1+'대시보드_및_설정'!$I$7)/(1+'대시보드_및_설정'!$G$7))^($A47-1)</f>
        <v/>
      </c>
      <c r="Q47" s="45">
        <f>N47*'대시보드_및_설정'!$G$7+(FV((1+'대시보드_및_설정'!$G$7)^(1/12)-1,12,-$C47*'대시보드_및_설정'!$F$7,0,1)-O47)</f>
        <v/>
      </c>
      <c r="R47" s="45">
        <f>(N47*P47+O47*P47*13/24)*(1-'대시보드_및_설정'!$C$10)</f>
        <v/>
      </c>
      <c r="S47" s="45">
        <f>R47*'대시보드_및_설정'!$C$9</f>
        <v/>
      </c>
      <c r="T47" s="45">
        <f>R47-S47</f>
        <v/>
      </c>
      <c r="U47" s="45">
        <f>N47+O47+Q47+S47</f>
        <v/>
      </c>
      <c r="V47" s="45">
        <f>AC46</f>
        <v/>
      </c>
      <c r="W47" s="45">
        <f>$D47*'대시보드_및_설정'!$F$8</f>
        <v/>
      </c>
      <c r="X47" s="46">
        <f>'대시보드_및_설정'!$H$8*((1+'대시보드_및_설정'!$I$8)/(1+'대시보드_및_설정'!$G$8))^($A47-1)</f>
        <v/>
      </c>
      <c r="Y47" s="45">
        <f>V47*'대시보드_및_설정'!$G$8+(FV((1+'대시보드_및_설정'!$G$8)^(1/12)-1,12,-$C47*'대시보드_및_설정'!$F$8,0,1)-W47)</f>
        <v/>
      </c>
      <c r="Z47" s="45">
        <f>(V47*X47+W47*X47*13/24)*(1-'대시보드_및_설정'!$C$10)</f>
        <v/>
      </c>
      <c r="AA47" s="45">
        <f>Z47*'대시보드_및_설정'!$C$9</f>
        <v/>
      </c>
      <c r="AB47" s="45">
        <f>Z47-AA47</f>
        <v/>
      </c>
      <c r="AC47" s="45">
        <f>V47+W47+Y47+AA47</f>
        <v/>
      </c>
      <c r="AD47" s="45">
        <f>AK46</f>
        <v/>
      </c>
      <c r="AE47" s="45">
        <f>$D47*'대시보드_및_설정'!$F$9</f>
        <v/>
      </c>
      <c r="AF47" s="46">
        <f>'대시보드_및_설정'!$H$9*((1+'대시보드_및_설정'!$I$9)/(1+'대시보드_및_설정'!$G$9))^($A47-1)</f>
        <v/>
      </c>
      <c r="AG47" s="45">
        <f>AD47*'대시보드_및_설정'!$G$9+(FV((1+'대시보드_및_설정'!$G$9)^(1/12)-1,12,-$C47*'대시보드_및_설정'!$F$9,0,1)-AE47)</f>
        <v/>
      </c>
      <c r="AH47" s="45">
        <f>(AD47*AF47+AE47*AF47*13/24)*(1-'대시보드_및_설정'!$C$10)</f>
        <v/>
      </c>
      <c r="AI47" s="45">
        <f>AH47*'대시보드_및_설정'!$C$9</f>
        <v/>
      </c>
      <c r="AJ47" s="45">
        <f>AH47-AI47</f>
        <v/>
      </c>
      <c r="AK47" s="45">
        <f>AD47+AE47+AG47+AI47</f>
        <v/>
      </c>
      <c r="AL47" s="45">
        <f>F47+N47+V47+AD47</f>
        <v/>
      </c>
      <c r="AM47" s="45">
        <f>G47+O47+W47+AE47</f>
        <v/>
      </c>
      <c r="AN47" s="45">
        <f>I47+Q47+Y47+AG47</f>
        <v/>
      </c>
      <c r="AO47" s="45">
        <f>J47+R47+Z47+AH47</f>
        <v/>
      </c>
      <c r="AP47" s="45">
        <f>K47+S47+AA47+AI47</f>
        <v/>
      </c>
      <c r="AQ47" s="45">
        <f>L47+T47+AB47+AJ47</f>
        <v/>
      </c>
      <c r="AR47" s="45">
        <f>AR46+AP47</f>
        <v/>
      </c>
      <c r="AS47" s="45">
        <f>AS46+AQ47</f>
        <v/>
      </c>
      <c r="AT47" s="47">
        <f>M47+U47+AC47+AK47</f>
        <v/>
      </c>
      <c r="AU47" s="45">
        <f>AO47/12</f>
        <v/>
      </c>
      <c r="AV47" s="48">
        <f>IFERROR((AT47+AS47)/E47-1,0)</f>
        <v/>
      </c>
    </row>
    <row r="48">
      <c r="A48" s="20" t="n">
        <v>43</v>
      </c>
      <c r="B48" s="32">
        <f>'대시보드_및_설정'!$C$11+A48</f>
        <v/>
      </c>
      <c r="C48" s="45">
        <f>'대시보드_및_설정'!$C$7*(1+'대시보드_및_설정'!$C$8)^(A48-1)</f>
        <v/>
      </c>
      <c r="D48" s="45">
        <f>C48*12</f>
        <v/>
      </c>
      <c r="E48" s="45">
        <f>E47+D48</f>
        <v/>
      </c>
      <c r="F48" s="45">
        <f>M47</f>
        <v/>
      </c>
      <c r="G48" s="45">
        <f>$D48*'대시보드_및_설정'!$F$6</f>
        <v/>
      </c>
      <c r="H48" s="46">
        <f>'대시보드_및_설정'!$H$6*((1+'대시보드_및_설정'!$I$6)/(1+'대시보드_및_설정'!$G$6))^($A48-1)</f>
        <v/>
      </c>
      <c r="I48" s="45">
        <f>F48*'대시보드_및_설정'!$G$6+(FV((1+'대시보드_및_설정'!$G$6)^(1/12)-1,12,-$C48*'대시보드_및_설정'!$F$6,0,1)-G48)</f>
        <v/>
      </c>
      <c r="J48" s="45">
        <f>(F48*H48+G48*H48*13/24)*(1-'대시보드_및_설정'!$C$10)</f>
        <v/>
      </c>
      <c r="K48" s="45">
        <f>J48*'대시보드_및_설정'!$C$9</f>
        <v/>
      </c>
      <c r="L48" s="45">
        <f>J48-K48</f>
        <v/>
      </c>
      <c r="M48" s="45">
        <f>F48+G48+I48+K48</f>
        <v/>
      </c>
      <c r="N48" s="45">
        <f>U47</f>
        <v/>
      </c>
      <c r="O48" s="45">
        <f>$D48*'대시보드_및_설정'!$F$7</f>
        <v/>
      </c>
      <c r="P48" s="46">
        <f>'대시보드_및_설정'!$H$7*((1+'대시보드_및_설정'!$I$7)/(1+'대시보드_및_설정'!$G$7))^($A48-1)</f>
        <v/>
      </c>
      <c r="Q48" s="45">
        <f>N48*'대시보드_및_설정'!$G$7+(FV((1+'대시보드_및_설정'!$G$7)^(1/12)-1,12,-$C48*'대시보드_및_설정'!$F$7,0,1)-O48)</f>
        <v/>
      </c>
      <c r="R48" s="45">
        <f>(N48*P48+O48*P48*13/24)*(1-'대시보드_및_설정'!$C$10)</f>
        <v/>
      </c>
      <c r="S48" s="45">
        <f>R48*'대시보드_및_설정'!$C$9</f>
        <v/>
      </c>
      <c r="T48" s="45">
        <f>R48-S48</f>
        <v/>
      </c>
      <c r="U48" s="45">
        <f>N48+O48+Q48+S48</f>
        <v/>
      </c>
      <c r="V48" s="45">
        <f>AC47</f>
        <v/>
      </c>
      <c r="W48" s="45">
        <f>$D48*'대시보드_및_설정'!$F$8</f>
        <v/>
      </c>
      <c r="X48" s="46">
        <f>'대시보드_및_설정'!$H$8*((1+'대시보드_및_설정'!$I$8)/(1+'대시보드_및_설정'!$G$8))^($A48-1)</f>
        <v/>
      </c>
      <c r="Y48" s="45">
        <f>V48*'대시보드_및_설정'!$G$8+(FV((1+'대시보드_및_설정'!$G$8)^(1/12)-1,12,-$C48*'대시보드_및_설정'!$F$8,0,1)-W48)</f>
        <v/>
      </c>
      <c r="Z48" s="45">
        <f>(V48*X48+W48*X48*13/24)*(1-'대시보드_및_설정'!$C$10)</f>
        <v/>
      </c>
      <c r="AA48" s="45">
        <f>Z48*'대시보드_및_설정'!$C$9</f>
        <v/>
      </c>
      <c r="AB48" s="45">
        <f>Z48-AA48</f>
        <v/>
      </c>
      <c r="AC48" s="45">
        <f>V48+W48+Y48+AA48</f>
        <v/>
      </c>
      <c r="AD48" s="45">
        <f>AK47</f>
        <v/>
      </c>
      <c r="AE48" s="45">
        <f>$D48*'대시보드_및_설정'!$F$9</f>
        <v/>
      </c>
      <c r="AF48" s="46">
        <f>'대시보드_및_설정'!$H$9*((1+'대시보드_및_설정'!$I$9)/(1+'대시보드_및_설정'!$G$9))^($A48-1)</f>
        <v/>
      </c>
      <c r="AG48" s="45">
        <f>AD48*'대시보드_및_설정'!$G$9+(FV((1+'대시보드_및_설정'!$G$9)^(1/12)-1,12,-$C48*'대시보드_및_설정'!$F$9,0,1)-AE48)</f>
        <v/>
      </c>
      <c r="AH48" s="45">
        <f>(AD48*AF48+AE48*AF48*13/24)*(1-'대시보드_및_설정'!$C$10)</f>
        <v/>
      </c>
      <c r="AI48" s="45">
        <f>AH48*'대시보드_및_설정'!$C$9</f>
        <v/>
      </c>
      <c r="AJ48" s="45">
        <f>AH48-AI48</f>
        <v/>
      </c>
      <c r="AK48" s="45">
        <f>AD48+AE48+AG48+AI48</f>
        <v/>
      </c>
      <c r="AL48" s="45">
        <f>F48+N48+V48+AD48</f>
        <v/>
      </c>
      <c r="AM48" s="45">
        <f>G48+O48+W48+AE48</f>
        <v/>
      </c>
      <c r="AN48" s="45">
        <f>I48+Q48+Y48+AG48</f>
        <v/>
      </c>
      <c r="AO48" s="45">
        <f>J48+R48+Z48+AH48</f>
        <v/>
      </c>
      <c r="AP48" s="45">
        <f>K48+S48+AA48+AI48</f>
        <v/>
      </c>
      <c r="AQ48" s="45">
        <f>L48+T48+AB48+AJ48</f>
        <v/>
      </c>
      <c r="AR48" s="45">
        <f>AR47+AP48</f>
        <v/>
      </c>
      <c r="AS48" s="45">
        <f>AS47+AQ48</f>
        <v/>
      </c>
      <c r="AT48" s="47">
        <f>M48+U48+AC48+AK48</f>
        <v/>
      </c>
      <c r="AU48" s="45">
        <f>AO48/12</f>
        <v/>
      </c>
      <c r="AV48" s="48">
        <f>IFERROR((AT48+AS48)/E48-1,0)</f>
        <v/>
      </c>
    </row>
    <row r="49">
      <c r="A49" s="20" t="n">
        <v>44</v>
      </c>
      <c r="B49" s="32">
        <f>'대시보드_및_설정'!$C$11+A49</f>
        <v/>
      </c>
      <c r="C49" s="45">
        <f>'대시보드_및_설정'!$C$7*(1+'대시보드_및_설정'!$C$8)^(A49-1)</f>
        <v/>
      </c>
      <c r="D49" s="45">
        <f>C49*12</f>
        <v/>
      </c>
      <c r="E49" s="45">
        <f>E48+D49</f>
        <v/>
      </c>
      <c r="F49" s="45">
        <f>M48</f>
        <v/>
      </c>
      <c r="G49" s="45">
        <f>$D49*'대시보드_및_설정'!$F$6</f>
        <v/>
      </c>
      <c r="H49" s="46">
        <f>'대시보드_및_설정'!$H$6*((1+'대시보드_및_설정'!$I$6)/(1+'대시보드_및_설정'!$G$6))^($A49-1)</f>
        <v/>
      </c>
      <c r="I49" s="45">
        <f>F49*'대시보드_및_설정'!$G$6+(FV((1+'대시보드_및_설정'!$G$6)^(1/12)-1,12,-$C49*'대시보드_및_설정'!$F$6,0,1)-G49)</f>
        <v/>
      </c>
      <c r="J49" s="45">
        <f>(F49*H49+G49*H49*13/24)*(1-'대시보드_및_설정'!$C$10)</f>
        <v/>
      </c>
      <c r="K49" s="45">
        <f>J49*'대시보드_및_설정'!$C$9</f>
        <v/>
      </c>
      <c r="L49" s="45">
        <f>J49-K49</f>
        <v/>
      </c>
      <c r="M49" s="45">
        <f>F49+G49+I49+K49</f>
        <v/>
      </c>
      <c r="N49" s="45">
        <f>U48</f>
        <v/>
      </c>
      <c r="O49" s="45">
        <f>$D49*'대시보드_및_설정'!$F$7</f>
        <v/>
      </c>
      <c r="P49" s="46">
        <f>'대시보드_및_설정'!$H$7*((1+'대시보드_및_설정'!$I$7)/(1+'대시보드_및_설정'!$G$7))^($A49-1)</f>
        <v/>
      </c>
      <c r="Q49" s="45">
        <f>N49*'대시보드_및_설정'!$G$7+(FV((1+'대시보드_및_설정'!$G$7)^(1/12)-1,12,-$C49*'대시보드_및_설정'!$F$7,0,1)-O49)</f>
        <v/>
      </c>
      <c r="R49" s="45">
        <f>(N49*P49+O49*P49*13/24)*(1-'대시보드_및_설정'!$C$10)</f>
        <v/>
      </c>
      <c r="S49" s="45">
        <f>R49*'대시보드_및_설정'!$C$9</f>
        <v/>
      </c>
      <c r="T49" s="45">
        <f>R49-S49</f>
        <v/>
      </c>
      <c r="U49" s="45">
        <f>N49+O49+Q49+S49</f>
        <v/>
      </c>
      <c r="V49" s="45">
        <f>AC48</f>
        <v/>
      </c>
      <c r="W49" s="45">
        <f>$D49*'대시보드_및_설정'!$F$8</f>
        <v/>
      </c>
      <c r="X49" s="46">
        <f>'대시보드_및_설정'!$H$8*((1+'대시보드_및_설정'!$I$8)/(1+'대시보드_및_설정'!$G$8))^($A49-1)</f>
        <v/>
      </c>
      <c r="Y49" s="45">
        <f>V49*'대시보드_및_설정'!$G$8+(FV((1+'대시보드_및_설정'!$G$8)^(1/12)-1,12,-$C49*'대시보드_및_설정'!$F$8,0,1)-W49)</f>
        <v/>
      </c>
      <c r="Z49" s="45">
        <f>(V49*X49+W49*X49*13/24)*(1-'대시보드_및_설정'!$C$10)</f>
        <v/>
      </c>
      <c r="AA49" s="45">
        <f>Z49*'대시보드_및_설정'!$C$9</f>
        <v/>
      </c>
      <c r="AB49" s="45">
        <f>Z49-AA49</f>
        <v/>
      </c>
      <c r="AC49" s="45">
        <f>V49+W49+Y49+AA49</f>
        <v/>
      </c>
      <c r="AD49" s="45">
        <f>AK48</f>
        <v/>
      </c>
      <c r="AE49" s="45">
        <f>$D49*'대시보드_및_설정'!$F$9</f>
        <v/>
      </c>
      <c r="AF49" s="46">
        <f>'대시보드_및_설정'!$H$9*((1+'대시보드_및_설정'!$I$9)/(1+'대시보드_및_설정'!$G$9))^($A49-1)</f>
        <v/>
      </c>
      <c r="AG49" s="45">
        <f>AD49*'대시보드_및_설정'!$G$9+(FV((1+'대시보드_및_설정'!$G$9)^(1/12)-1,12,-$C49*'대시보드_및_설정'!$F$9,0,1)-AE49)</f>
        <v/>
      </c>
      <c r="AH49" s="45">
        <f>(AD49*AF49+AE49*AF49*13/24)*(1-'대시보드_및_설정'!$C$10)</f>
        <v/>
      </c>
      <c r="AI49" s="45">
        <f>AH49*'대시보드_및_설정'!$C$9</f>
        <v/>
      </c>
      <c r="AJ49" s="45">
        <f>AH49-AI49</f>
        <v/>
      </c>
      <c r="AK49" s="45">
        <f>AD49+AE49+AG49+AI49</f>
        <v/>
      </c>
      <c r="AL49" s="45">
        <f>F49+N49+V49+AD49</f>
        <v/>
      </c>
      <c r="AM49" s="45">
        <f>G49+O49+W49+AE49</f>
        <v/>
      </c>
      <c r="AN49" s="45">
        <f>I49+Q49+Y49+AG49</f>
        <v/>
      </c>
      <c r="AO49" s="45">
        <f>J49+R49+Z49+AH49</f>
        <v/>
      </c>
      <c r="AP49" s="45">
        <f>K49+S49+AA49+AI49</f>
        <v/>
      </c>
      <c r="AQ49" s="45">
        <f>L49+T49+AB49+AJ49</f>
        <v/>
      </c>
      <c r="AR49" s="45">
        <f>AR48+AP49</f>
        <v/>
      </c>
      <c r="AS49" s="45">
        <f>AS48+AQ49</f>
        <v/>
      </c>
      <c r="AT49" s="47">
        <f>M49+U49+AC49+AK49</f>
        <v/>
      </c>
      <c r="AU49" s="45">
        <f>AO49/12</f>
        <v/>
      </c>
      <c r="AV49" s="48">
        <f>IFERROR((AT49+AS49)/E49-1,0)</f>
        <v/>
      </c>
    </row>
    <row r="50">
      <c r="A50" s="20" t="n">
        <v>45</v>
      </c>
      <c r="B50" s="32">
        <f>'대시보드_및_설정'!$C$11+A50</f>
        <v/>
      </c>
      <c r="C50" s="45">
        <f>'대시보드_및_설정'!$C$7*(1+'대시보드_및_설정'!$C$8)^(A50-1)</f>
        <v/>
      </c>
      <c r="D50" s="45">
        <f>C50*12</f>
        <v/>
      </c>
      <c r="E50" s="45">
        <f>E49+D50</f>
        <v/>
      </c>
      <c r="F50" s="45">
        <f>M49</f>
        <v/>
      </c>
      <c r="G50" s="45">
        <f>$D50*'대시보드_및_설정'!$F$6</f>
        <v/>
      </c>
      <c r="H50" s="46">
        <f>'대시보드_및_설정'!$H$6*((1+'대시보드_및_설정'!$I$6)/(1+'대시보드_및_설정'!$G$6))^($A50-1)</f>
        <v/>
      </c>
      <c r="I50" s="45">
        <f>F50*'대시보드_및_설정'!$G$6+(FV((1+'대시보드_및_설정'!$G$6)^(1/12)-1,12,-$C50*'대시보드_및_설정'!$F$6,0,1)-G50)</f>
        <v/>
      </c>
      <c r="J50" s="45">
        <f>(F50*H50+G50*H50*13/24)*(1-'대시보드_및_설정'!$C$10)</f>
        <v/>
      </c>
      <c r="K50" s="45">
        <f>J50*'대시보드_및_설정'!$C$9</f>
        <v/>
      </c>
      <c r="L50" s="45">
        <f>J50-K50</f>
        <v/>
      </c>
      <c r="M50" s="45">
        <f>F50+G50+I50+K50</f>
        <v/>
      </c>
      <c r="N50" s="45">
        <f>U49</f>
        <v/>
      </c>
      <c r="O50" s="45">
        <f>$D50*'대시보드_및_설정'!$F$7</f>
        <v/>
      </c>
      <c r="P50" s="46">
        <f>'대시보드_및_설정'!$H$7*((1+'대시보드_및_설정'!$I$7)/(1+'대시보드_및_설정'!$G$7))^($A50-1)</f>
        <v/>
      </c>
      <c r="Q50" s="45">
        <f>N50*'대시보드_및_설정'!$G$7+(FV((1+'대시보드_및_설정'!$G$7)^(1/12)-1,12,-$C50*'대시보드_및_설정'!$F$7,0,1)-O50)</f>
        <v/>
      </c>
      <c r="R50" s="45">
        <f>(N50*P50+O50*P50*13/24)*(1-'대시보드_및_설정'!$C$10)</f>
        <v/>
      </c>
      <c r="S50" s="45">
        <f>R50*'대시보드_및_설정'!$C$9</f>
        <v/>
      </c>
      <c r="T50" s="45">
        <f>R50-S50</f>
        <v/>
      </c>
      <c r="U50" s="45">
        <f>N50+O50+Q50+S50</f>
        <v/>
      </c>
      <c r="V50" s="45">
        <f>AC49</f>
        <v/>
      </c>
      <c r="W50" s="45">
        <f>$D50*'대시보드_및_설정'!$F$8</f>
        <v/>
      </c>
      <c r="X50" s="46">
        <f>'대시보드_및_설정'!$H$8*((1+'대시보드_및_설정'!$I$8)/(1+'대시보드_및_설정'!$G$8))^($A50-1)</f>
        <v/>
      </c>
      <c r="Y50" s="45">
        <f>V50*'대시보드_및_설정'!$G$8+(FV((1+'대시보드_및_설정'!$G$8)^(1/12)-1,12,-$C50*'대시보드_및_설정'!$F$8,0,1)-W50)</f>
        <v/>
      </c>
      <c r="Z50" s="45">
        <f>(V50*X50+W50*X50*13/24)*(1-'대시보드_및_설정'!$C$10)</f>
        <v/>
      </c>
      <c r="AA50" s="45">
        <f>Z50*'대시보드_및_설정'!$C$9</f>
        <v/>
      </c>
      <c r="AB50" s="45">
        <f>Z50-AA50</f>
        <v/>
      </c>
      <c r="AC50" s="45">
        <f>V50+W50+Y50+AA50</f>
        <v/>
      </c>
      <c r="AD50" s="45">
        <f>AK49</f>
        <v/>
      </c>
      <c r="AE50" s="45">
        <f>$D50*'대시보드_및_설정'!$F$9</f>
        <v/>
      </c>
      <c r="AF50" s="46">
        <f>'대시보드_및_설정'!$H$9*((1+'대시보드_및_설정'!$I$9)/(1+'대시보드_및_설정'!$G$9))^($A50-1)</f>
        <v/>
      </c>
      <c r="AG50" s="45">
        <f>AD50*'대시보드_및_설정'!$G$9+(FV((1+'대시보드_및_설정'!$G$9)^(1/12)-1,12,-$C50*'대시보드_및_설정'!$F$9,0,1)-AE50)</f>
        <v/>
      </c>
      <c r="AH50" s="45">
        <f>(AD50*AF50+AE50*AF50*13/24)*(1-'대시보드_및_설정'!$C$10)</f>
        <v/>
      </c>
      <c r="AI50" s="45">
        <f>AH50*'대시보드_및_설정'!$C$9</f>
        <v/>
      </c>
      <c r="AJ50" s="45">
        <f>AH50-AI50</f>
        <v/>
      </c>
      <c r="AK50" s="45">
        <f>AD50+AE50+AG50+AI50</f>
        <v/>
      </c>
      <c r="AL50" s="45">
        <f>F50+N50+V50+AD50</f>
        <v/>
      </c>
      <c r="AM50" s="45">
        <f>G50+O50+W50+AE50</f>
        <v/>
      </c>
      <c r="AN50" s="45">
        <f>I50+Q50+Y50+AG50</f>
        <v/>
      </c>
      <c r="AO50" s="45">
        <f>J50+R50+Z50+AH50</f>
        <v/>
      </c>
      <c r="AP50" s="45">
        <f>K50+S50+AA50+AI50</f>
        <v/>
      </c>
      <c r="AQ50" s="45">
        <f>L50+T50+AB50+AJ50</f>
        <v/>
      </c>
      <c r="AR50" s="45">
        <f>AR49+AP50</f>
        <v/>
      </c>
      <c r="AS50" s="45">
        <f>AS49+AQ50</f>
        <v/>
      </c>
      <c r="AT50" s="47">
        <f>M50+U50+AC50+AK50</f>
        <v/>
      </c>
      <c r="AU50" s="45">
        <f>AO50/12</f>
        <v/>
      </c>
      <c r="AV50" s="48">
        <f>IFERROR((AT50+AS50)/E50-1,0)</f>
        <v/>
      </c>
    </row>
    <row r="51">
      <c r="A51" s="20" t="n">
        <v>46</v>
      </c>
      <c r="B51" s="32">
        <f>'대시보드_및_설정'!$C$11+A51</f>
        <v/>
      </c>
      <c r="C51" s="45">
        <f>'대시보드_및_설정'!$C$7*(1+'대시보드_및_설정'!$C$8)^(A51-1)</f>
        <v/>
      </c>
      <c r="D51" s="45">
        <f>C51*12</f>
        <v/>
      </c>
      <c r="E51" s="45">
        <f>E50+D51</f>
        <v/>
      </c>
      <c r="F51" s="45">
        <f>M50</f>
        <v/>
      </c>
      <c r="G51" s="45">
        <f>$D51*'대시보드_및_설정'!$F$6</f>
        <v/>
      </c>
      <c r="H51" s="46">
        <f>'대시보드_및_설정'!$H$6*((1+'대시보드_및_설정'!$I$6)/(1+'대시보드_및_설정'!$G$6))^($A51-1)</f>
        <v/>
      </c>
      <c r="I51" s="45">
        <f>F51*'대시보드_및_설정'!$G$6+(FV((1+'대시보드_및_설정'!$G$6)^(1/12)-1,12,-$C51*'대시보드_및_설정'!$F$6,0,1)-G51)</f>
        <v/>
      </c>
      <c r="J51" s="45">
        <f>(F51*H51+G51*H51*13/24)*(1-'대시보드_및_설정'!$C$10)</f>
        <v/>
      </c>
      <c r="K51" s="45">
        <f>J51*'대시보드_및_설정'!$C$9</f>
        <v/>
      </c>
      <c r="L51" s="45">
        <f>J51-K51</f>
        <v/>
      </c>
      <c r="M51" s="45">
        <f>F51+G51+I51+K51</f>
        <v/>
      </c>
      <c r="N51" s="45">
        <f>U50</f>
        <v/>
      </c>
      <c r="O51" s="45">
        <f>$D51*'대시보드_및_설정'!$F$7</f>
        <v/>
      </c>
      <c r="P51" s="46">
        <f>'대시보드_및_설정'!$H$7*((1+'대시보드_및_설정'!$I$7)/(1+'대시보드_및_설정'!$G$7))^($A51-1)</f>
        <v/>
      </c>
      <c r="Q51" s="45">
        <f>N51*'대시보드_및_설정'!$G$7+(FV((1+'대시보드_및_설정'!$G$7)^(1/12)-1,12,-$C51*'대시보드_및_설정'!$F$7,0,1)-O51)</f>
        <v/>
      </c>
      <c r="R51" s="45">
        <f>(N51*P51+O51*P51*13/24)*(1-'대시보드_및_설정'!$C$10)</f>
        <v/>
      </c>
      <c r="S51" s="45">
        <f>R51*'대시보드_및_설정'!$C$9</f>
        <v/>
      </c>
      <c r="T51" s="45">
        <f>R51-S51</f>
        <v/>
      </c>
      <c r="U51" s="45">
        <f>N51+O51+Q51+S51</f>
        <v/>
      </c>
      <c r="V51" s="45">
        <f>AC50</f>
        <v/>
      </c>
      <c r="W51" s="45">
        <f>$D51*'대시보드_및_설정'!$F$8</f>
        <v/>
      </c>
      <c r="X51" s="46">
        <f>'대시보드_및_설정'!$H$8*((1+'대시보드_및_설정'!$I$8)/(1+'대시보드_및_설정'!$G$8))^($A51-1)</f>
        <v/>
      </c>
      <c r="Y51" s="45">
        <f>V51*'대시보드_및_설정'!$G$8+(FV((1+'대시보드_및_설정'!$G$8)^(1/12)-1,12,-$C51*'대시보드_및_설정'!$F$8,0,1)-W51)</f>
        <v/>
      </c>
      <c r="Z51" s="45">
        <f>(V51*X51+W51*X51*13/24)*(1-'대시보드_및_설정'!$C$10)</f>
        <v/>
      </c>
      <c r="AA51" s="45">
        <f>Z51*'대시보드_및_설정'!$C$9</f>
        <v/>
      </c>
      <c r="AB51" s="45">
        <f>Z51-AA51</f>
        <v/>
      </c>
      <c r="AC51" s="45">
        <f>V51+W51+Y51+AA51</f>
        <v/>
      </c>
      <c r="AD51" s="45">
        <f>AK50</f>
        <v/>
      </c>
      <c r="AE51" s="45">
        <f>$D51*'대시보드_및_설정'!$F$9</f>
        <v/>
      </c>
      <c r="AF51" s="46">
        <f>'대시보드_및_설정'!$H$9*((1+'대시보드_및_설정'!$I$9)/(1+'대시보드_및_설정'!$G$9))^($A51-1)</f>
        <v/>
      </c>
      <c r="AG51" s="45">
        <f>AD51*'대시보드_및_설정'!$G$9+(FV((1+'대시보드_및_설정'!$G$9)^(1/12)-1,12,-$C51*'대시보드_및_설정'!$F$9,0,1)-AE51)</f>
        <v/>
      </c>
      <c r="AH51" s="45">
        <f>(AD51*AF51+AE51*AF51*13/24)*(1-'대시보드_및_설정'!$C$10)</f>
        <v/>
      </c>
      <c r="AI51" s="45">
        <f>AH51*'대시보드_및_설정'!$C$9</f>
        <v/>
      </c>
      <c r="AJ51" s="45">
        <f>AH51-AI51</f>
        <v/>
      </c>
      <c r="AK51" s="45">
        <f>AD51+AE51+AG51+AI51</f>
        <v/>
      </c>
      <c r="AL51" s="45">
        <f>F51+N51+V51+AD51</f>
        <v/>
      </c>
      <c r="AM51" s="45">
        <f>G51+O51+W51+AE51</f>
        <v/>
      </c>
      <c r="AN51" s="45">
        <f>I51+Q51+Y51+AG51</f>
        <v/>
      </c>
      <c r="AO51" s="45">
        <f>J51+R51+Z51+AH51</f>
        <v/>
      </c>
      <c r="AP51" s="45">
        <f>K51+S51+AA51+AI51</f>
        <v/>
      </c>
      <c r="AQ51" s="45">
        <f>L51+T51+AB51+AJ51</f>
        <v/>
      </c>
      <c r="AR51" s="45">
        <f>AR50+AP51</f>
        <v/>
      </c>
      <c r="AS51" s="45">
        <f>AS50+AQ51</f>
        <v/>
      </c>
      <c r="AT51" s="47">
        <f>M51+U51+AC51+AK51</f>
        <v/>
      </c>
      <c r="AU51" s="45">
        <f>AO51/12</f>
        <v/>
      </c>
      <c r="AV51" s="48">
        <f>IFERROR((AT51+AS51)/E51-1,0)</f>
        <v/>
      </c>
    </row>
    <row r="52">
      <c r="A52" s="20" t="n">
        <v>47</v>
      </c>
      <c r="B52" s="32">
        <f>'대시보드_및_설정'!$C$11+A52</f>
        <v/>
      </c>
      <c r="C52" s="45">
        <f>'대시보드_및_설정'!$C$7*(1+'대시보드_및_설정'!$C$8)^(A52-1)</f>
        <v/>
      </c>
      <c r="D52" s="45">
        <f>C52*12</f>
        <v/>
      </c>
      <c r="E52" s="45">
        <f>E51+D52</f>
        <v/>
      </c>
      <c r="F52" s="45">
        <f>M51</f>
        <v/>
      </c>
      <c r="G52" s="45">
        <f>$D52*'대시보드_및_설정'!$F$6</f>
        <v/>
      </c>
      <c r="H52" s="46">
        <f>'대시보드_및_설정'!$H$6*((1+'대시보드_및_설정'!$I$6)/(1+'대시보드_및_설정'!$G$6))^($A52-1)</f>
        <v/>
      </c>
      <c r="I52" s="45">
        <f>F52*'대시보드_및_설정'!$G$6+(FV((1+'대시보드_및_설정'!$G$6)^(1/12)-1,12,-$C52*'대시보드_및_설정'!$F$6,0,1)-G52)</f>
        <v/>
      </c>
      <c r="J52" s="45">
        <f>(F52*H52+G52*H52*13/24)*(1-'대시보드_및_설정'!$C$10)</f>
        <v/>
      </c>
      <c r="K52" s="45">
        <f>J52*'대시보드_및_설정'!$C$9</f>
        <v/>
      </c>
      <c r="L52" s="45">
        <f>J52-K52</f>
        <v/>
      </c>
      <c r="M52" s="45">
        <f>F52+G52+I52+K52</f>
        <v/>
      </c>
      <c r="N52" s="45">
        <f>U51</f>
        <v/>
      </c>
      <c r="O52" s="45">
        <f>$D52*'대시보드_및_설정'!$F$7</f>
        <v/>
      </c>
      <c r="P52" s="46">
        <f>'대시보드_및_설정'!$H$7*((1+'대시보드_및_설정'!$I$7)/(1+'대시보드_및_설정'!$G$7))^($A52-1)</f>
        <v/>
      </c>
      <c r="Q52" s="45">
        <f>N52*'대시보드_및_설정'!$G$7+(FV((1+'대시보드_및_설정'!$G$7)^(1/12)-1,12,-$C52*'대시보드_및_설정'!$F$7,0,1)-O52)</f>
        <v/>
      </c>
      <c r="R52" s="45">
        <f>(N52*P52+O52*P52*13/24)*(1-'대시보드_및_설정'!$C$10)</f>
        <v/>
      </c>
      <c r="S52" s="45">
        <f>R52*'대시보드_및_설정'!$C$9</f>
        <v/>
      </c>
      <c r="T52" s="45">
        <f>R52-S52</f>
        <v/>
      </c>
      <c r="U52" s="45">
        <f>N52+O52+Q52+S52</f>
        <v/>
      </c>
      <c r="V52" s="45">
        <f>AC51</f>
        <v/>
      </c>
      <c r="W52" s="45">
        <f>$D52*'대시보드_및_설정'!$F$8</f>
        <v/>
      </c>
      <c r="X52" s="46">
        <f>'대시보드_및_설정'!$H$8*((1+'대시보드_및_설정'!$I$8)/(1+'대시보드_및_설정'!$G$8))^($A52-1)</f>
        <v/>
      </c>
      <c r="Y52" s="45">
        <f>V52*'대시보드_및_설정'!$G$8+(FV((1+'대시보드_및_설정'!$G$8)^(1/12)-1,12,-$C52*'대시보드_및_설정'!$F$8,0,1)-W52)</f>
        <v/>
      </c>
      <c r="Z52" s="45">
        <f>(V52*X52+W52*X52*13/24)*(1-'대시보드_및_설정'!$C$10)</f>
        <v/>
      </c>
      <c r="AA52" s="45">
        <f>Z52*'대시보드_및_설정'!$C$9</f>
        <v/>
      </c>
      <c r="AB52" s="45">
        <f>Z52-AA52</f>
        <v/>
      </c>
      <c r="AC52" s="45">
        <f>V52+W52+Y52+AA52</f>
        <v/>
      </c>
      <c r="AD52" s="45">
        <f>AK51</f>
        <v/>
      </c>
      <c r="AE52" s="45">
        <f>$D52*'대시보드_및_설정'!$F$9</f>
        <v/>
      </c>
      <c r="AF52" s="46">
        <f>'대시보드_및_설정'!$H$9*((1+'대시보드_및_설정'!$I$9)/(1+'대시보드_및_설정'!$G$9))^($A52-1)</f>
        <v/>
      </c>
      <c r="AG52" s="45">
        <f>AD52*'대시보드_및_설정'!$G$9+(FV((1+'대시보드_및_설정'!$G$9)^(1/12)-1,12,-$C52*'대시보드_및_설정'!$F$9,0,1)-AE52)</f>
        <v/>
      </c>
      <c r="AH52" s="45">
        <f>(AD52*AF52+AE52*AF52*13/24)*(1-'대시보드_및_설정'!$C$10)</f>
        <v/>
      </c>
      <c r="AI52" s="45">
        <f>AH52*'대시보드_및_설정'!$C$9</f>
        <v/>
      </c>
      <c r="AJ52" s="45">
        <f>AH52-AI52</f>
        <v/>
      </c>
      <c r="AK52" s="45">
        <f>AD52+AE52+AG52+AI52</f>
        <v/>
      </c>
      <c r="AL52" s="45">
        <f>F52+N52+V52+AD52</f>
        <v/>
      </c>
      <c r="AM52" s="45">
        <f>G52+O52+W52+AE52</f>
        <v/>
      </c>
      <c r="AN52" s="45">
        <f>I52+Q52+Y52+AG52</f>
        <v/>
      </c>
      <c r="AO52" s="45">
        <f>J52+R52+Z52+AH52</f>
        <v/>
      </c>
      <c r="AP52" s="45">
        <f>K52+S52+AA52+AI52</f>
        <v/>
      </c>
      <c r="AQ52" s="45">
        <f>L52+T52+AB52+AJ52</f>
        <v/>
      </c>
      <c r="AR52" s="45">
        <f>AR51+AP52</f>
        <v/>
      </c>
      <c r="AS52" s="45">
        <f>AS51+AQ52</f>
        <v/>
      </c>
      <c r="AT52" s="47">
        <f>M52+U52+AC52+AK52</f>
        <v/>
      </c>
      <c r="AU52" s="45">
        <f>AO52/12</f>
        <v/>
      </c>
      <c r="AV52" s="48">
        <f>IFERROR((AT52+AS52)/E52-1,0)</f>
        <v/>
      </c>
    </row>
    <row r="53">
      <c r="A53" s="20" t="n">
        <v>48</v>
      </c>
      <c r="B53" s="32">
        <f>'대시보드_및_설정'!$C$11+A53</f>
        <v/>
      </c>
      <c r="C53" s="45">
        <f>'대시보드_및_설정'!$C$7*(1+'대시보드_및_설정'!$C$8)^(A53-1)</f>
        <v/>
      </c>
      <c r="D53" s="45">
        <f>C53*12</f>
        <v/>
      </c>
      <c r="E53" s="45">
        <f>E52+D53</f>
        <v/>
      </c>
      <c r="F53" s="45">
        <f>M52</f>
        <v/>
      </c>
      <c r="G53" s="45">
        <f>$D53*'대시보드_및_설정'!$F$6</f>
        <v/>
      </c>
      <c r="H53" s="46">
        <f>'대시보드_및_설정'!$H$6*((1+'대시보드_및_설정'!$I$6)/(1+'대시보드_및_설정'!$G$6))^($A53-1)</f>
        <v/>
      </c>
      <c r="I53" s="45">
        <f>F53*'대시보드_및_설정'!$G$6+(FV((1+'대시보드_및_설정'!$G$6)^(1/12)-1,12,-$C53*'대시보드_및_설정'!$F$6,0,1)-G53)</f>
        <v/>
      </c>
      <c r="J53" s="45">
        <f>(F53*H53+G53*H53*13/24)*(1-'대시보드_및_설정'!$C$10)</f>
        <v/>
      </c>
      <c r="K53" s="45">
        <f>J53*'대시보드_및_설정'!$C$9</f>
        <v/>
      </c>
      <c r="L53" s="45">
        <f>J53-K53</f>
        <v/>
      </c>
      <c r="M53" s="45">
        <f>F53+G53+I53+K53</f>
        <v/>
      </c>
      <c r="N53" s="45">
        <f>U52</f>
        <v/>
      </c>
      <c r="O53" s="45">
        <f>$D53*'대시보드_및_설정'!$F$7</f>
        <v/>
      </c>
      <c r="P53" s="46">
        <f>'대시보드_및_설정'!$H$7*((1+'대시보드_및_설정'!$I$7)/(1+'대시보드_및_설정'!$G$7))^($A53-1)</f>
        <v/>
      </c>
      <c r="Q53" s="45">
        <f>N53*'대시보드_및_설정'!$G$7+(FV((1+'대시보드_및_설정'!$G$7)^(1/12)-1,12,-$C53*'대시보드_및_설정'!$F$7,0,1)-O53)</f>
        <v/>
      </c>
      <c r="R53" s="45">
        <f>(N53*P53+O53*P53*13/24)*(1-'대시보드_및_설정'!$C$10)</f>
        <v/>
      </c>
      <c r="S53" s="45">
        <f>R53*'대시보드_및_설정'!$C$9</f>
        <v/>
      </c>
      <c r="T53" s="45">
        <f>R53-S53</f>
        <v/>
      </c>
      <c r="U53" s="45">
        <f>N53+O53+Q53+S53</f>
        <v/>
      </c>
      <c r="V53" s="45">
        <f>AC52</f>
        <v/>
      </c>
      <c r="W53" s="45">
        <f>$D53*'대시보드_및_설정'!$F$8</f>
        <v/>
      </c>
      <c r="X53" s="46">
        <f>'대시보드_및_설정'!$H$8*((1+'대시보드_및_설정'!$I$8)/(1+'대시보드_및_설정'!$G$8))^($A53-1)</f>
        <v/>
      </c>
      <c r="Y53" s="45">
        <f>V53*'대시보드_및_설정'!$G$8+(FV((1+'대시보드_및_설정'!$G$8)^(1/12)-1,12,-$C53*'대시보드_및_설정'!$F$8,0,1)-W53)</f>
        <v/>
      </c>
      <c r="Z53" s="45">
        <f>(V53*X53+W53*X53*13/24)*(1-'대시보드_및_설정'!$C$10)</f>
        <v/>
      </c>
      <c r="AA53" s="45">
        <f>Z53*'대시보드_및_설정'!$C$9</f>
        <v/>
      </c>
      <c r="AB53" s="45">
        <f>Z53-AA53</f>
        <v/>
      </c>
      <c r="AC53" s="45">
        <f>V53+W53+Y53+AA53</f>
        <v/>
      </c>
      <c r="AD53" s="45">
        <f>AK52</f>
        <v/>
      </c>
      <c r="AE53" s="45">
        <f>$D53*'대시보드_및_설정'!$F$9</f>
        <v/>
      </c>
      <c r="AF53" s="46">
        <f>'대시보드_및_설정'!$H$9*((1+'대시보드_및_설정'!$I$9)/(1+'대시보드_및_설정'!$G$9))^($A53-1)</f>
        <v/>
      </c>
      <c r="AG53" s="45">
        <f>AD53*'대시보드_및_설정'!$G$9+(FV((1+'대시보드_및_설정'!$G$9)^(1/12)-1,12,-$C53*'대시보드_및_설정'!$F$9,0,1)-AE53)</f>
        <v/>
      </c>
      <c r="AH53" s="45">
        <f>(AD53*AF53+AE53*AF53*13/24)*(1-'대시보드_및_설정'!$C$10)</f>
        <v/>
      </c>
      <c r="AI53" s="45">
        <f>AH53*'대시보드_및_설정'!$C$9</f>
        <v/>
      </c>
      <c r="AJ53" s="45">
        <f>AH53-AI53</f>
        <v/>
      </c>
      <c r="AK53" s="45">
        <f>AD53+AE53+AG53+AI53</f>
        <v/>
      </c>
      <c r="AL53" s="45">
        <f>F53+N53+V53+AD53</f>
        <v/>
      </c>
      <c r="AM53" s="45">
        <f>G53+O53+W53+AE53</f>
        <v/>
      </c>
      <c r="AN53" s="45">
        <f>I53+Q53+Y53+AG53</f>
        <v/>
      </c>
      <c r="AO53" s="45">
        <f>J53+R53+Z53+AH53</f>
        <v/>
      </c>
      <c r="AP53" s="45">
        <f>K53+S53+AA53+AI53</f>
        <v/>
      </c>
      <c r="AQ53" s="45">
        <f>L53+T53+AB53+AJ53</f>
        <v/>
      </c>
      <c r="AR53" s="45">
        <f>AR52+AP53</f>
        <v/>
      </c>
      <c r="AS53" s="45">
        <f>AS52+AQ53</f>
        <v/>
      </c>
      <c r="AT53" s="47">
        <f>M53+U53+AC53+AK53</f>
        <v/>
      </c>
      <c r="AU53" s="45">
        <f>AO53/12</f>
        <v/>
      </c>
      <c r="AV53" s="48">
        <f>IFERROR((AT53+AS53)/E53-1,0)</f>
        <v/>
      </c>
    </row>
    <row r="54">
      <c r="A54" s="20" t="n">
        <v>49</v>
      </c>
      <c r="B54" s="32">
        <f>'대시보드_및_설정'!$C$11+A54</f>
        <v/>
      </c>
      <c r="C54" s="45">
        <f>'대시보드_및_설정'!$C$7*(1+'대시보드_및_설정'!$C$8)^(A54-1)</f>
        <v/>
      </c>
      <c r="D54" s="45">
        <f>C54*12</f>
        <v/>
      </c>
      <c r="E54" s="45">
        <f>E53+D54</f>
        <v/>
      </c>
      <c r="F54" s="45">
        <f>M53</f>
        <v/>
      </c>
      <c r="G54" s="45">
        <f>$D54*'대시보드_및_설정'!$F$6</f>
        <v/>
      </c>
      <c r="H54" s="46">
        <f>'대시보드_및_설정'!$H$6*((1+'대시보드_및_설정'!$I$6)/(1+'대시보드_및_설정'!$G$6))^($A54-1)</f>
        <v/>
      </c>
      <c r="I54" s="45">
        <f>F54*'대시보드_및_설정'!$G$6+(FV((1+'대시보드_및_설정'!$G$6)^(1/12)-1,12,-$C54*'대시보드_및_설정'!$F$6,0,1)-G54)</f>
        <v/>
      </c>
      <c r="J54" s="45">
        <f>(F54*H54+G54*H54*13/24)*(1-'대시보드_및_설정'!$C$10)</f>
        <v/>
      </c>
      <c r="K54" s="45">
        <f>J54*'대시보드_및_설정'!$C$9</f>
        <v/>
      </c>
      <c r="L54" s="45">
        <f>J54-K54</f>
        <v/>
      </c>
      <c r="M54" s="45">
        <f>F54+G54+I54+K54</f>
        <v/>
      </c>
      <c r="N54" s="45">
        <f>U53</f>
        <v/>
      </c>
      <c r="O54" s="45">
        <f>$D54*'대시보드_및_설정'!$F$7</f>
        <v/>
      </c>
      <c r="P54" s="46">
        <f>'대시보드_및_설정'!$H$7*((1+'대시보드_및_설정'!$I$7)/(1+'대시보드_및_설정'!$G$7))^($A54-1)</f>
        <v/>
      </c>
      <c r="Q54" s="45">
        <f>N54*'대시보드_및_설정'!$G$7+(FV((1+'대시보드_및_설정'!$G$7)^(1/12)-1,12,-$C54*'대시보드_및_설정'!$F$7,0,1)-O54)</f>
        <v/>
      </c>
      <c r="R54" s="45">
        <f>(N54*P54+O54*P54*13/24)*(1-'대시보드_및_설정'!$C$10)</f>
        <v/>
      </c>
      <c r="S54" s="45">
        <f>R54*'대시보드_및_설정'!$C$9</f>
        <v/>
      </c>
      <c r="T54" s="45">
        <f>R54-S54</f>
        <v/>
      </c>
      <c r="U54" s="45">
        <f>N54+O54+Q54+S54</f>
        <v/>
      </c>
      <c r="V54" s="45">
        <f>AC53</f>
        <v/>
      </c>
      <c r="W54" s="45">
        <f>$D54*'대시보드_및_설정'!$F$8</f>
        <v/>
      </c>
      <c r="X54" s="46">
        <f>'대시보드_및_설정'!$H$8*((1+'대시보드_및_설정'!$I$8)/(1+'대시보드_및_설정'!$G$8))^($A54-1)</f>
        <v/>
      </c>
      <c r="Y54" s="45">
        <f>V54*'대시보드_및_설정'!$G$8+(FV((1+'대시보드_및_설정'!$G$8)^(1/12)-1,12,-$C54*'대시보드_및_설정'!$F$8,0,1)-W54)</f>
        <v/>
      </c>
      <c r="Z54" s="45">
        <f>(V54*X54+W54*X54*13/24)*(1-'대시보드_및_설정'!$C$10)</f>
        <v/>
      </c>
      <c r="AA54" s="45">
        <f>Z54*'대시보드_및_설정'!$C$9</f>
        <v/>
      </c>
      <c r="AB54" s="45">
        <f>Z54-AA54</f>
        <v/>
      </c>
      <c r="AC54" s="45">
        <f>V54+W54+Y54+AA54</f>
        <v/>
      </c>
      <c r="AD54" s="45">
        <f>AK53</f>
        <v/>
      </c>
      <c r="AE54" s="45">
        <f>$D54*'대시보드_및_설정'!$F$9</f>
        <v/>
      </c>
      <c r="AF54" s="46">
        <f>'대시보드_및_설정'!$H$9*((1+'대시보드_및_설정'!$I$9)/(1+'대시보드_및_설정'!$G$9))^($A54-1)</f>
        <v/>
      </c>
      <c r="AG54" s="45">
        <f>AD54*'대시보드_및_설정'!$G$9+(FV((1+'대시보드_및_설정'!$G$9)^(1/12)-1,12,-$C54*'대시보드_및_설정'!$F$9,0,1)-AE54)</f>
        <v/>
      </c>
      <c r="AH54" s="45">
        <f>(AD54*AF54+AE54*AF54*13/24)*(1-'대시보드_및_설정'!$C$10)</f>
        <v/>
      </c>
      <c r="AI54" s="45">
        <f>AH54*'대시보드_및_설정'!$C$9</f>
        <v/>
      </c>
      <c r="AJ54" s="45">
        <f>AH54-AI54</f>
        <v/>
      </c>
      <c r="AK54" s="45">
        <f>AD54+AE54+AG54+AI54</f>
        <v/>
      </c>
      <c r="AL54" s="45">
        <f>F54+N54+V54+AD54</f>
        <v/>
      </c>
      <c r="AM54" s="45">
        <f>G54+O54+W54+AE54</f>
        <v/>
      </c>
      <c r="AN54" s="45">
        <f>I54+Q54+Y54+AG54</f>
        <v/>
      </c>
      <c r="AO54" s="45">
        <f>J54+R54+Z54+AH54</f>
        <v/>
      </c>
      <c r="AP54" s="45">
        <f>K54+S54+AA54+AI54</f>
        <v/>
      </c>
      <c r="AQ54" s="45">
        <f>L54+T54+AB54+AJ54</f>
        <v/>
      </c>
      <c r="AR54" s="45">
        <f>AR53+AP54</f>
        <v/>
      </c>
      <c r="AS54" s="45">
        <f>AS53+AQ54</f>
        <v/>
      </c>
      <c r="AT54" s="47">
        <f>M54+U54+AC54+AK54</f>
        <v/>
      </c>
      <c r="AU54" s="45">
        <f>AO54/12</f>
        <v/>
      </c>
      <c r="AV54" s="48">
        <f>IFERROR((AT54+AS54)/E54-1,0)</f>
        <v/>
      </c>
    </row>
    <row r="55">
      <c r="A55" s="20" t="n">
        <v>50</v>
      </c>
      <c r="B55" s="32">
        <f>'대시보드_및_설정'!$C$11+A55</f>
        <v/>
      </c>
      <c r="C55" s="45">
        <f>'대시보드_및_설정'!$C$7*(1+'대시보드_및_설정'!$C$8)^(A55-1)</f>
        <v/>
      </c>
      <c r="D55" s="45">
        <f>C55*12</f>
        <v/>
      </c>
      <c r="E55" s="45">
        <f>E54+D55</f>
        <v/>
      </c>
      <c r="F55" s="45">
        <f>M54</f>
        <v/>
      </c>
      <c r="G55" s="45">
        <f>$D55*'대시보드_및_설정'!$F$6</f>
        <v/>
      </c>
      <c r="H55" s="46">
        <f>'대시보드_및_설정'!$H$6*((1+'대시보드_및_설정'!$I$6)/(1+'대시보드_및_설정'!$G$6))^($A55-1)</f>
        <v/>
      </c>
      <c r="I55" s="45">
        <f>F55*'대시보드_및_설정'!$G$6+(FV((1+'대시보드_및_설정'!$G$6)^(1/12)-1,12,-$C55*'대시보드_및_설정'!$F$6,0,1)-G55)</f>
        <v/>
      </c>
      <c r="J55" s="45">
        <f>(F55*H55+G55*H55*13/24)*(1-'대시보드_및_설정'!$C$10)</f>
        <v/>
      </c>
      <c r="K55" s="45">
        <f>J55*'대시보드_및_설정'!$C$9</f>
        <v/>
      </c>
      <c r="L55" s="45">
        <f>J55-K55</f>
        <v/>
      </c>
      <c r="M55" s="45">
        <f>F55+G55+I55+K55</f>
        <v/>
      </c>
      <c r="N55" s="45">
        <f>U54</f>
        <v/>
      </c>
      <c r="O55" s="45">
        <f>$D55*'대시보드_및_설정'!$F$7</f>
        <v/>
      </c>
      <c r="P55" s="46">
        <f>'대시보드_및_설정'!$H$7*((1+'대시보드_및_설정'!$I$7)/(1+'대시보드_및_설정'!$G$7))^($A55-1)</f>
        <v/>
      </c>
      <c r="Q55" s="45">
        <f>N55*'대시보드_및_설정'!$G$7+(FV((1+'대시보드_및_설정'!$G$7)^(1/12)-1,12,-$C55*'대시보드_및_설정'!$F$7,0,1)-O55)</f>
        <v/>
      </c>
      <c r="R55" s="45">
        <f>(N55*P55+O55*P55*13/24)*(1-'대시보드_및_설정'!$C$10)</f>
        <v/>
      </c>
      <c r="S55" s="45">
        <f>R55*'대시보드_및_설정'!$C$9</f>
        <v/>
      </c>
      <c r="T55" s="45">
        <f>R55-S55</f>
        <v/>
      </c>
      <c r="U55" s="45">
        <f>N55+O55+Q55+S55</f>
        <v/>
      </c>
      <c r="V55" s="45">
        <f>AC54</f>
        <v/>
      </c>
      <c r="W55" s="45">
        <f>$D55*'대시보드_및_설정'!$F$8</f>
        <v/>
      </c>
      <c r="X55" s="46">
        <f>'대시보드_및_설정'!$H$8*((1+'대시보드_및_설정'!$I$8)/(1+'대시보드_및_설정'!$G$8))^($A55-1)</f>
        <v/>
      </c>
      <c r="Y55" s="45">
        <f>V55*'대시보드_및_설정'!$G$8+(FV((1+'대시보드_및_설정'!$G$8)^(1/12)-1,12,-$C55*'대시보드_및_설정'!$F$8,0,1)-W55)</f>
        <v/>
      </c>
      <c r="Z55" s="45">
        <f>(V55*X55+W55*X55*13/24)*(1-'대시보드_및_설정'!$C$10)</f>
        <v/>
      </c>
      <c r="AA55" s="45">
        <f>Z55*'대시보드_및_설정'!$C$9</f>
        <v/>
      </c>
      <c r="AB55" s="45">
        <f>Z55-AA55</f>
        <v/>
      </c>
      <c r="AC55" s="45">
        <f>V55+W55+Y55+AA55</f>
        <v/>
      </c>
      <c r="AD55" s="45">
        <f>AK54</f>
        <v/>
      </c>
      <c r="AE55" s="45">
        <f>$D55*'대시보드_및_설정'!$F$9</f>
        <v/>
      </c>
      <c r="AF55" s="46">
        <f>'대시보드_및_설정'!$H$9*((1+'대시보드_및_설정'!$I$9)/(1+'대시보드_및_설정'!$G$9))^($A55-1)</f>
        <v/>
      </c>
      <c r="AG55" s="45">
        <f>AD55*'대시보드_및_설정'!$G$9+(FV((1+'대시보드_및_설정'!$G$9)^(1/12)-1,12,-$C55*'대시보드_및_설정'!$F$9,0,1)-AE55)</f>
        <v/>
      </c>
      <c r="AH55" s="45">
        <f>(AD55*AF55+AE55*AF55*13/24)*(1-'대시보드_및_설정'!$C$10)</f>
        <v/>
      </c>
      <c r="AI55" s="45">
        <f>AH55*'대시보드_및_설정'!$C$9</f>
        <v/>
      </c>
      <c r="AJ55" s="45">
        <f>AH55-AI55</f>
        <v/>
      </c>
      <c r="AK55" s="45">
        <f>AD55+AE55+AG55+AI55</f>
        <v/>
      </c>
      <c r="AL55" s="45">
        <f>F55+N55+V55+AD55</f>
        <v/>
      </c>
      <c r="AM55" s="45">
        <f>G55+O55+W55+AE55</f>
        <v/>
      </c>
      <c r="AN55" s="45">
        <f>I55+Q55+Y55+AG55</f>
        <v/>
      </c>
      <c r="AO55" s="45">
        <f>J55+R55+Z55+AH55</f>
        <v/>
      </c>
      <c r="AP55" s="45">
        <f>K55+S55+AA55+AI55</f>
        <v/>
      </c>
      <c r="AQ55" s="45">
        <f>L55+T55+AB55+AJ55</f>
        <v/>
      </c>
      <c r="AR55" s="45">
        <f>AR54+AP55</f>
        <v/>
      </c>
      <c r="AS55" s="45">
        <f>AS54+AQ55</f>
        <v/>
      </c>
      <c r="AT55" s="47">
        <f>M55+U55+AC55+AK55</f>
        <v/>
      </c>
      <c r="AU55" s="45">
        <f>AO55/12</f>
        <v/>
      </c>
      <c r="AV55" s="48">
        <f>IFERROR((AT55+AS55)/E55-1,0)</f>
        <v/>
      </c>
    </row>
  </sheetData>
  <mergeCells count="10">
    <mergeCell ref="F4:M4"/>
    <mergeCell ref="V4:AC4"/>
    <mergeCell ref="B4:B5"/>
    <mergeCell ref="N4:U4"/>
    <mergeCell ref="C4:C5"/>
    <mergeCell ref="A4:A5"/>
    <mergeCell ref="AL4:AV4"/>
    <mergeCell ref="E4:E5"/>
    <mergeCell ref="D4:D5"/>
    <mergeCell ref="AD4:AK4"/>
  </mergeCells>
  <conditionalFormatting sqref="A6:AV55">
    <cfRule type="expression" priority="1" dxfId="6">
      <formula>$A6='대시보드_및_설정'!$C$14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은퇴 후 현금흐름 및 자산 고갈 시점</t>
        </is>
      </c>
    </row>
    <row r="3" ht="26" customHeight="1">
      <c r="B3" s="29" t="inlineStr">
        <is>
          <t>자산 고갈 예상 시점</t>
        </is>
      </c>
      <c r="C3" s="27">
        <f>IFERROR("은퇴 후 "&amp;MATCH("고갈",$S$13:$S$72,0)&amp;"년 차 (만 "&amp;INDEX($C$13:$C$72,MATCH("고갈",$S$13:$S$72,0))&amp;"세)에 자산 고갈","영구 지속 (자본 잠식 없음)")</f>
        <v/>
      </c>
      <c r="D3" s="28" t="n"/>
      <c r="E3" s="28" t="n"/>
      <c r="F3" s="28" t="n"/>
      <c r="H3" s="6" t="inlineStr">
        <is>
          <t>종목</t>
        </is>
      </c>
      <c r="I3" s="6" t="inlineStr">
        <is>
          <t>은퇴 시점 평가액</t>
        </is>
      </c>
      <c r="J3" s="6" t="inlineStr">
        <is>
          <t>자산 비중</t>
        </is>
      </c>
      <c r="K3" s="6" t="inlineStr">
        <is>
          <t>배당률(고정)</t>
        </is>
      </c>
      <c r="L3" s="6" t="inlineStr">
        <is>
          <t>주가성장률
(할인 반영)</t>
        </is>
      </c>
    </row>
    <row r="4">
      <c r="B4" s="29" t="inlineStr">
        <is>
          <t>자본 잠식 여부</t>
        </is>
      </c>
      <c r="C4" s="29">
        <f>IF(COUNTIF($S$13:$S$72,"고갈")&gt;0,"⚠️ 생활비 인출로 자산 고갈 발생",IF($P$72&gt;=$C$6,"✅ 60년 뒤에도 명목 자산이 은퇴 시점 이상 (원금 보존)","ℹ️ 60년 내 고갈은 없지만 자산은 줄어드는 추세"))</f>
        <v/>
      </c>
      <c r="D4" s="28" t="n"/>
      <c r="E4" s="28" t="n"/>
      <c r="F4" s="28" t="n"/>
      <c r="H4" s="8" t="inlineStr">
        <is>
          <t>QQQ</t>
        </is>
      </c>
      <c r="I4" s="45">
        <f>INDEX('연차별_자산성장_시뮬레이션'!$M$6:$M$55,'대시보드_및_설정'!$C$14)</f>
        <v/>
      </c>
      <c r="J4" s="48">
        <f>IFERROR(I4/$I$8,0)</f>
        <v/>
      </c>
      <c r="K4" s="46">
        <f>'대시보드_및_설정'!$H$6*((1+'대시보드_및_설정'!$I$6)/(1+'대시보드_및_설정'!$G$6))^'대시보드_및_설정'!$C$14</f>
        <v/>
      </c>
      <c r="L4" s="46">
        <f>'대시보드_및_설정'!$G$6-'대시보드_및_설정'!$C$17</f>
        <v/>
      </c>
    </row>
    <row r="5">
      <c r="B5" s="4" t="inlineStr">
        <is>
          <t>은퇴 시점</t>
        </is>
      </c>
      <c r="C5" s="49">
        <f>"투자 "&amp;'대시보드_및_설정'!$C$14&amp;"년 차 말 (만 "&amp;'대시보드_및_설정'!$C$20&amp;"세)"</f>
        <v/>
      </c>
      <c r="H5" s="12" t="inlineStr">
        <is>
          <t>VOO</t>
        </is>
      </c>
      <c r="I5" s="45">
        <f>INDEX('연차별_자산성장_시뮬레이션'!$U$6:$U$55,'대시보드_및_설정'!$C$14)</f>
        <v/>
      </c>
      <c r="J5" s="48">
        <f>IFERROR(I5/$I$8,0)</f>
        <v/>
      </c>
      <c r="K5" s="46">
        <f>'대시보드_및_설정'!$H$7*((1+'대시보드_및_설정'!$I$7)/(1+'대시보드_및_설정'!$G$7))^'대시보드_및_설정'!$C$14</f>
        <v/>
      </c>
      <c r="L5" s="46">
        <f>'대시보드_및_설정'!$G$7-'대시보드_및_설정'!$C$17</f>
        <v/>
      </c>
    </row>
    <row r="6">
      <c r="B6" s="4" t="inlineStr">
        <is>
          <t>시작 자산 (은퇴 시점 기말 총자산)</t>
        </is>
      </c>
      <c r="C6" s="11">
        <f>INDEX('연차별_자산성장_시뮬레이션'!$AT$6:$AT$55,'대시보드_및_설정'!$C$14)</f>
        <v/>
      </c>
      <c r="H6" s="13" t="inlineStr">
        <is>
          <t>SCHD</t>
        </is>
      </c>
      <c r="I6" s="45">
        <f>INDEX('연차별_자산성장_시뮬레이션'!$AC$6:$AC$55,'대시보드_및_설정'!$C$14)</f>
        <v/>
      </c>
      <c r="J6" s="48">
        <f>IFERROR(I6/$I$8,0)</f>
        <v/>
      </c>
      <c r="K6" s="46">
        <f>'대시보드_및_설정'!$H$8*((1+'대시보드_및_설정'!$I$8)/(1+'대시보드_및_설정'!$G$8))^'대시보드_및_설정'!$C$14</f>
        <v/>
      </c>
      <c r="L6" s="46">
        <f>'대시보드_및_설정'!$G$8-'대시보드_및_설정'!$C$17</f>
        <v/>
      </c>
    </row>
    <row r="7">
      <c r="B7" s="4" t="inlineStr">
        <is>
          <t>시작 취득원가 (누적 원금 + 누적 재투자)</t>
        </is>
      </c>
      <c r="C7" s="11">
        <f>INDEX('연차별_자산성장_시뮬레이션'!$E$6:$E$55,'대시보드_및_설정'!$C$14)+INDEX('연차별_자산성장_시뮬레이션'!$AR$6:$AR$55,'대시보드_및_설정'!$C$14)</f>
        <v/>
      </c>
      <c r="H7" s="15" t="inlineStr">
        <is>
          <t>QLD</t>
        </is>
      </c>
      <c r="I7" s="45">
        <f>INDEX('연차별_자산성장_시뮬레이션'!$AK$6:$AK$55,'대시보드_및_설정'!$C$14)</f>
        <v/>
      </c>
      <c r="J7" s="48">
        <f>IFERROR(I7/$I$8,0)</f>
        <v/>
      </c>
      <c r="K7" s="46">
        <f>'대시보드_및_설정'!$H$9*((1+'대시보드_및_설정'!$I$9)/(1+'대시보드_및_설정'!$G$9))^'대시보드_및_설정'!$C$14</f>
        <v/>
      </c>
      <c r="L7" s="46">
        <f>'대시보드_및_설정'!$G$9-'대시보드_및_설정'!$C$17</f>
        <v/>
      </c>
    </row>
    <row r="8">
      <c r="B8" s="4" t="inlineStr">
        <is>
          <t>은퇴 후 가중평균 주가성장률</t>
        </is>
      </c>
      <c r="C8" s="50">
        <f>L8</f>
        <v/>
      </c>
      <c r="H8" s="16" t="inlineStr">
        <is>
          <t>합계 / 가중평균</t>
        </is>
      </c>
      <c r="I8" s="51">
        <f>SUM(I4:I7)</f>
        <v/>
      </c>
      <c r="J8" s="52">
        <f>SUM(J4:J7)</f>
        <v/>
      </c>
      <c r="K8" s="53">
        <f>SUMPRODUCT($J$4:$J$7,K4:K7)</f>
        <v/>
      </c>
      <c r="L8" s="53">
        <f>SUMPRODUCT($J$4:$J$7,L4:L7)</f>
        <v/>
      </c>
    </row>
    <row r="9">
      <c r="B9" s="4" t="inlineStr">
        <is>
          <t>은퇴 후 가중평균 배당률 (세전)</t>
        </is>
      </c>
      <c r="C9" s="50">
        <f>K8</f>
        <v/>
      </c>
      <c r="H9" s="2" t="inlineStr">
        <is>
          <t>※ 비중은 은퇴 시점의 실제 평가액 기준이며, 배당률은 은퇴 첫해 값으로 고정합니다.</t>
        </is>
      </c>
    </row>
    <row r="10">
      <c r="B10" s="4" t="inlineStr">
        <is>
          <t>은퇴 후 세후 배당수익률</t>
        </is>
      </c>
      <c r="C10" s="50">
        <f>C9*(1-'대시보드_및_설정'!$C$10)</f>
        <v/>
      </c>
      <c r="H10" s="2" t="inlineStr">
        <is>
          <t>※ 생활비는 매년 초 인출: 세후 배당을 먼저 쓰고, 모자라면 양도세(기본공제 반영)까지 낼 만큼 매도합니다.  남는 배당은 재투자합니다.  붉은 글씨 행 = 생활비를 다 채우지 못한 고갈 구간</t>
        </is>
      </c>
    </row>
    <row r="12" ht="32" customHeight="1">
      <c r="A12" s="6" t="inlineStr">
        <is>
          <t>은퇴 후
연차</t>
        </is>
      </c>
      <c r="B12" s="6" t="inlineStr">
        <is>
          <t>투자 연차</t>
        </is>
      </c>
      <c r="C12" s="6" t="inlineStr">
        <is>
          <t>나이(연말)</t>
        </is>
      </c>
      <c r="D12" s="6" t="inlineStr">
        <is>
          <t>기초 자산</t>
        </is>
      </c>
      <c r="E12" s="6" t="inlineStr">
        <is>
          <t>기초 취득원가</t>
        </is>
      </c>
      <c r="F12" s="6" t="inlineStr">
        <is>
          <t>미실현 이익 비율</t>
        </is>
      </c>
      <c r="G12" s="6" t="inlineStr">
        <is>
          <t>연간 생활비
(물가 반영)</t>
        </is>
      </c>
      <c r="H12" s="6" t="inlineStr">
        <is>
          <t>매도액(양도세
없다고 가정)</t>
        </is>
      </c>
      <c r="I12" s="6" t="inlineStr">
        <is>
          <t>실제 매도액
(세전)</t>
        </is>
      </c>
      <c r="J12" s="6" t="inlineStr">
        <is>
          <t>양도소득세</t>
        </is>
      </c>
      <c r="K12" s="6" t="inlineStr">
        <is>
          <t>매도 후 자산</t>
        </is>
      </c>
      <c r="L12" s="6" t="inlineStr">
        <is>
          <t>세후 배당금</t>
        </is>
      </c>
      <c r="M12" s="6" t="inlineStr">
        <is>
          <t>생활비 충당액</t>
        </is>
      </c>
      <c r="N12" s="6" t="inlineStr">
        <is>
          <t>남은 배당 재투자</t>
        </is>
      </c>
      <c r="O12" s="6" t="inlineStr">
        <is>
          <t>운용 수익
(주가 상승)</t>
        </is>
      </c>
      <c r="P12" s="6" t="inlineStr">
        <is>
          <t>기말 자산</t>
        </is>
      </c>
      <c r="Q12" s="6" t="inlineStr">
        <is>
          <t>기말 취득원가</t>
        </is>
      </c>
      <c r="R12" s="6" t="inlineStr">
        <is>
          <t>부족액(미충당)</t>
        </is>
      </c>
      <c r="S12" s="6" t="inlineStr">
        <is>
          <t>상태</t>
        </is>
      </c>
      <c r="T12" s="6" t="inlineStr">
        <is>
          <t>기말 자산
(현재 가치)</t>
        </is>
      </c>
    </row>
    <row r="13">
      <c r="A13" s="54" t="n">
        <v>1</v>
      </c>
      <c r="B13" s="54">
        <f>'대시보드_및_설정'!$C$14+A13</f>
        <v/>
      </c>
      <c r="C13" s="32">
        <f>'대시보드_및_설정'!$C$11+B13</f>
        <v/>
      </c>
      <c r="D13" s="45">
        <f>$C$6</f>
        <v/>
      </c>
      <c r="E13" s="45">
        <f>$C$7</f>
        <v/>
      </c>
      <c r="F13" s="48">
        <f>IF(D13&gt;0,MAX(0,1-E13/D13),0)</f>
        <v/>
      </c>
      <c r="G13" s="45">
        <f>'대시보드_및_설정'!$C$15*12*(1+'대시보드_및_설정'!$C$16)^(B13-1)</f>
        <v/>
      </c>
      <c r="H13" s="45">
        <f>(G13-D13*$C$10)/(1-$C$10)</f>
        <v/>
      </c>
      <c r="I13" s="45">
        <f>IF(D13&lt;=0,0,MIN(D13,MAX(0,IF(H13*F13&lt;='대시보드_및_설정'!$C$19,H13,(G13-D13*$C$10-'대시보드_및_설정'!$C$18*'대시보드_및_설정'!$C$19)/(1-'대시보드_및_설정'!$C$18*F13-$C$10)))))</f>
        <v/>
      </c>
      <c r="J13" s="45">
        <f>MAX(0,I13*F13-'대시보드_및_설정'!$C$19)*'대시보드_및_설정'!$C$18</f>
        <v/>
      </c>
      <c r="K13" s="45">
        <f>D13-I13</f>
        <v/>
      </c>
      <c r="L13" s="45">
        <f>K13*$C$10</f>
        <v/>
      </c>
      <c r="M13" s="45">
        <f>MIN(G13,I13-J13+L13)</f>
        <v/>
      </c>
      <c r="N13" s="45">
        <f>MAX(0,I13-J13+L13-G13)</f>
        <v/>
      </c>
      <c r="O13" s="45">
        <f>K13*$C$8</f>
        <v/>
      </c>
      <c r="P13" s="47">
        <f>K13+O13+N13</f>
        <v/>
      </c>
      <c r="Q13" s="45">
        <f>IF(D13&gt;0,E13*(1-I13/D13),0)+N13</f>
        <v/>
      </c>
      <c r="R13" s="45">
        <f>MAX(0,G13-M13)</f>
        <v/>
      </c>
      <c r="S13" s="54">
        <f>IF(R13&gt;1,"고갈","정상")</f>
        <v/>
      </c>
      <c r="T13" s="45">
        <f>P13/(1+'대시보드_및_설정'!$C$16)^B13</f>
        <v/>
      </c>
    </row>
    <row r="14">
      <c r="A14" s="54" t="n">
        <v>2</v>
      </c>
      <c r="B14" s="54">
        <f>'대시보드_및_설정'!$C$14+A14</f>
        <v/>
      </c>
      <c r="C14" s="32">
        <f>'대시보드_및_설정'!$C$11+B14</f>
        <v/>
      </c>
      <c r="D14" s="45">
        <f>MAX(0,P13)</f>
        <v/>
      </c>
      <c r="E14" s="45">
        <f>Q13</f>
        <v/>
      </c>
      <c r="F14" s="48">
        <f>IF(D14&gt;0,MAX(0,1-E14/D14),0)</f>
        <v/>
      </c>
      <c r="G14" s="45">
        <f>'대시보드_및_설정'!$C$15*12*(1+'대시보드_및_설정'!$C$16)^(B14-1)</f>
        <v/>
      </c>
      <c r="H14" s="45">
        <f>(G14-D14*$C$10)/(1-$C$10)</f>
        <v/>
      </c>
      <c r="I14" s="45">
        <f>IF(D14&lt;=0,0,MIN(D14,MAX(0,IF(H14*F14&lt;='대시보드_및_설정'!$C$19,H14,(G14-D14*$C$10-'대시보드_및_설정'!$C$18*'대시보드_및_설정'!$C$19)/(1-'대시보드_및_설정'!$C$18*F14-$C$10)))))</f>
        <v/>
      </c>
      <c r="J14" s="45">
        <f>MAX(0,I14*F14-'대시보드_및_설정'!$C$19)*'대시보드_및_설정'!$C$18</f>
        <v/>
      </c>
      <c r="K14" s="45">
        <f>D14-I14</f>
        <v/>
      </c>
      <c r="L14" s="45">
        <f>K14*$C$10</f>
        <v/>
      </c>
      <c r="M14" s="45">
        <f>MIN(G14,I14-J14+L14)</f>
        <v/>
      </c>
      <c r="N14" s="45">
        <f>MAX(0,I14-J14+L14-G14)</f>
        <v/>
      </c>
      <c r="O14" s="45">
        <f>K14*$C$8</f>
        <v/>
      </c>
      <c r="P14" s="47">
        <f>K14+O14+N14</f>
        <v/>
      </c>
      <c r="Q14" s="45">
        <f>IF(D14&gt;0,E14*(1-I14/D14),0)+N14</f>
        <v/>
      </c>
      <c r="R14" s="45">
        <f>MAX(0,G14-M14)</f>
        <v/>
      </c>
      <c r="S14" s="54">
        <f>IF(R14&gt;1,"고갈","정상")</f>
        <v/>
      </c>
      <c r="T14" s="45">
        <f>P14/(1+'대시보드_및_설정'!$C$16)^B14</f>
        <v/>
      </c>
    </row>
    <row r="15">
      <c r="A15" s="54" t="n">
        <v>3</v>
      </c>
      <c r="B15" s="54">
        <f>'대시보드_및_설정'!$C$14+A15</f>
        <v/>
      </c>
      <c r="C15" s="32">
        <f>'대시보드_및_설정'!$C$11+B15</f>
        <v/>
      </c>
      <c r="D15" s="45">
        <f>MAX(0,P14)</f>
        <v/>
      </c>
      <c r="E15" s="45">
        <f>Q14</f>
        <v/>
      </c>
      <c r="F15" s="48">
        <f>IF(D15&gt;0,MAX(0,1-E15/D15),0)</f>
        <v/>
      </c>
      <c r="G15" s="45">
        <f>'대시보드_및_설정'!$C$15*12*(1+'대시보드_및_설정'!$C$16)^(B15-1)</f>
        <v/>
      </c>
      <c r="H15" s="45">
        <f>(G15-D15*$C$10)/(1-$C$10)</f>
        <v/>
      </c>
      <c r="I15" s="45">
        <f>IF(D15&lt;=0,0,MIN(D15,MAX(0,IF(H15*F15&lt;='대시보드_및_설정'!$C$19,H15,(G15-D15*$C$10-'대시보드_및_설정'!$C$18*'대시보드_및_설정'!$C$19)/(1-'대시보드_및_설정'!$C$18*F15-$C$10)))))</f>
        <v/>
      </c>
      <c r="J15" s="45">
        <f>MAX(0,I15*F15-'대시보드_및_설정'!$C$19)*'대시보드_및_설정'!$C$18</f>
        <v/>
      </c>
      <c r="K15" s="45">
        <f>D15-I15</f>
        <v/>
      </c>
      <c r="L15" s="45">
        <f>K15*$C$10</f>
        <v/>
      </c>
      <c r="M15" s="45">
        <f>MIN(G15,I15-J15+L15)</f>
        <v/>
      </c>
      <c r="N15" s="45">
        <f>MAX(0,I15-J15+L15-G15)</f>
        <v/>
      </c>
      <c r="O15" s="45">
        <f>K15*$C$8</f>
        <v/>
      </c>
      <c r="P15" s="47">
        <f>K15+O15+N15</f>
        <v/>
      </c>
      <c r="Q15" s="45">
        <f>IF(D15&gt;0,E15*(1-I15/D15),0)+N15</f>
        <v/>
      </c>
      <c r="R15" s="45">
        <f>MAX(0,G15-M15)</f>
        <v/>
      </c>
      <c r="S15" s="54">
        <f>IF(R15&gt;1,"고갈","정상")</f>
        <v/>
      </c>
      <c r="T15" s="45">
        <f>P15/(1+'대시보드_및_설정'!$C$16)^B15</f>
        <v/>
      </c>
    </row>
    <row r="16">
      <c r="A16" s="54" t="n">
        <v>4</v>
      </c>
      <c r="B16" s="54">
        <f>'대시보드_및_설정'!$C$14+A16</f>
        <v/>
      </c>
      <c r="C16" s="32">
        <f>'대시보드_및_설정'!$C$11+B16</f>
        <v/>
      </c>
      <c r="D16" s="45">
        <f>MAX(0,P15)</f>
        <v/>
      </c>
      <c r="E16" s="45">
        <f>Q15</f>
        <v/>
      </c>
      <c r="F16" s="48">
        <f>IF(D16&gt;0,MAX(0,1-E16/D16),0)</f>
        <v/>
      </c>
      <c r="G16" s="45">
        <f>'대시보드_및_설정'!$C$15*12*(1+'대시보드_및_설정'!$C$16)^(B16-1)</f>
        <v/>
      </c>
      <c r="H16" s="45">
        <f>(G16-D16*$C$10)/(1-$C$10)</f>
        <v/>
      </c>
      <c r="I16" s="45">
        <f>IF(D16&lt;=0,0,MIN(D16,MAX(0,IF(H16*F16&lt;='대시보드_및_설정'!$C$19,H16,(G16-D16*$C$10-'대시보드_및_설정'!$C$18*'대시보드_및_설정'!$C$19)/(1-'대시보드_및_설정'!$C$18*F16-$C$10)))))</f>
        <v/>
      </c>
      <c r="J16" s="45">
        <f>MAX(0,I16*F16-'대시보드_및_설정'!$C$19)*'대시보드_및_설정'!$C$18</f>
        <v/>
      </c>
      <c r="K16" s="45">
        <f>D16-I16</f>
        <v/>
      </c>
      <c r="L16" s="45">
        <f>K16*$C$10</f>
        <v/>
      </c>
      <c r="M16" s="45">
        <f>MIN(G16,I16-J16+L16)</f>
        <v/>
      </c>
      <c r="N16" s="45">
        <f>MAX(0,I16-J16+L16-G16)</f>
        <v/>
      </c>
      <c r="O16" s="45">
        <f>K16*$C$8</f>
        <v/>
      </c>
      <c r="P16" s="47">
        <f>K16+O16+N16</f>
        <v/>
      </c>
      <c r="Q16" s="45">
        <f>IF(D16&gt;0,E16*(1-I16/D16),0)+N16</f>
        <v/>
      </c>
      <c r="R16" s="45">
        <f>MAX(0,G16-M16)</f>
        <v/>
      </c>
      <c r="S16" s="54">
        <f>IF(R16&gt;1,"고갈","정상")</f>
        <v/>
      </c>
      <c r="T16" s="45">
        <f>P16/(1+'대시보드_및_설정'!$C$16)^B16</f>
        <v/>
      </c>
    </row>
    <row r="17">
      <c r="A17" s="54" t="n">
        <v>5</v>
      </c>
      <c r="B17" s="54">
        <f>'대시보드_및_설정'!$C$14+A17</f>
        <v/>
      </c>
      <c r="C17" s="32">
        <f>'대시보드_및_설정'!$C$11+B17</f>
        <v/>
      </c>
      <c r="D17" s="45">
        <f>MAX(0,P16)</f>
        <v/>
      </c>
      <c r="E17" s="45">
        <f>Q16</f>
        <v/>
      </c>
      <c r="F17" s="48">
        <f>IF(D17&gt;0,MAX(0,1-E17/D17),0)</f>
        <v/>
      </c>
      <c r="G17" s="45">
        <f>'대시보드_및_설정'!$C$15*12*(1+'대시보드_및_설정'!$C$16)^(B17-1)</f>
        <v/>
      </c>
      <c r="H17" s="45">
        <f>(G17-D17*$C$10)/(1-$C$10)</f>
        <v/>
      </c>
      <c r="I17" s="45">
        <f>IF(D17&lt;=0,0,MIN(D17,MAX(0,IF(H17*F17&lt;='대시보드_및_설정'!$C$19,H17,(G17-D17*$C$10-'대시보드_및_설정'!$C$18*'대시보드_및_설정'!$C$19)/(1-'대시보드_및_설정'!$C$18*F17-$C$10)))))</f>
        <v/>
      </c>
      <c r="J17" s="45">
        <f>MAX(0,I17*F17-'대시보드_및_설정'!$C$19)*'대시보드_및_설정'!$C$18</f>
        <v/>
      </c>
      <c r="K17" s="45">
        <f>D17-I17</f>
        <v/>
      </c>
      <c r="L17" s="45">
        <f>K17*$C$10</f>
        <v/>
      </c>
      <c r="M17" s="45">
        <f>MIN(G17,I17-J17+L17)</f>
        <v/>
      </c>
      <c r="N17" s="45">
        <f>MAX(0,I17-J17+L17-G17)</f>
        <v/>
      </c>
      <c r="O17" s="45">
        <f>K17*$C$8</f>
        <v/>
      </c>
      <c r="P17" s="47">
        <f>K17+O17+N17</f>
        <v/>
      </c>
      <c r="Q17" s="45">
        <f>IF(D17&gt;0,E17*(1-I17/D17),0)+N17</f>
        <v/>
      </c>
      <c r="R17" s="45">
        <f>MAX(0,G17-M17)</f>
        <v/>
      </c>
      <c r="S17" s="54">
        <f>IF(R17&gt;1,"고갈","정상")</f>
        <v/>
      </c>
      <c r="T17" s="45">
        <f>P17/(1+'대시보드_및_설정'!$C$16)^B17</f>
        <v/>
      </c>
    </row>
    <row r="18">
      <c r="A18" s="54" t="n">
        <v>6</v>
      </c>
      <c r="B18" s="54">
        <f>'대시보드_및_설정'!$C$14+A18</f>
        <v/>
      </c>
      <c r="C18" s="32">
        <f>'대시보드_및_설정'!$C$11+B18</f>
        <v/>
      </c>
      <c r="D18" s="45">
        <f>MAX(0,P17)</f>
        <v/>
      </c>
      <c r="E18" s="45">
        <f>Q17</f>
        <v/>
      </c>
      <c r="F18" s="48">
        <f>IF(D18&gt;0,MAX(0,1-E18/D18),0)</f>
        <v/>
      </c>
      <c r="G18" s="45">
        <f>'대시보드_및_설정'!$C$15*12*(1+'대시보드_및_설정'!$C$16)^(B18-1)</f>
        <v/>
      </c>
      <c r="H18" s="45">
        <f>(G18-D18*$C$10)/(1-$C$10)</f>
        <v/>
      </c>
      <c r="I18" s="45">
        <f>IF(D18&lt;=0,0,MIN(D18,MAX(0,IF(H18*F18&lt;='대시보드_및_설정'!$C$19,H18,(G18-D18*$C$10-'대시보드_및_설정'!$C$18*'대시보드_및_설정'!$C$19)/(1-'대시보드_및_설정'!$C$18*F18-$C$10)))))</f>
        <v/>
      </c>
      <c r="J18" s="45">
        <f>MAX(0,I18*F18-'대시보드_및_설정'!$C$19)*'대시보드_및_설정'!$C$18</f>
        <v/>
      </c>
      <c r="K18" s="45">
        <f>D18-I18</f>
        <v/>
      </c>
      <c r="L18" s="45">
        <f>K18*$C$10</f>
        <v/>
      </c>
      <c r="M18" s="45">
        <f>MIN(G18,I18-J18+L18)</f>
        <v/>
      </c>
      <c r="N18" s="45">
        <f>MAX(0,I18-J18+L18-G18)</f>
        <v/>
      </c>
      <c r="O18" s="45">
        <f>K18*$C$8</f>
        <v/>
      </c>
      <c r="P18" s="47">
        <f>K18+O18+N18</f>
        <v/>
      </c>
      <c r="Q18" s="45">
        <f>IF(D18&gt;0,E18*(1-I18/D18),0)+N18</f>
        <v/>
      </c>
      <c r="R18" s="45">
        <f>MAX(0,G18-M18)</f>
        <v/>
      </c>
      <c r="S18" s="54">
        <f>IF(R18&gt;1,"고갈","정상")</f>
        <v/>
      </c>
      <c r="T18" s="45">
        <f>P18/(1+'대시보드_및_설정'!$C$16)^B18</f>
        <v/>
      </c>
    </row>
    <row r="19">
      <c r="A19" s="54" t="n">
        <v>7</v>
      </c>
      <c r="B19" s="54">
        <f>'대시보드_및_설정'!$C$14+A19</f>
        <v/>
      </c>
      <c r="C19" s="32">
        <f>'대시보드_및_설정'!$C$11+B19</f>
        <v/>
      </c>
      <c r="D19" s="45">
        <f>MAX(0,P18)</f>
        <v/>
      </c>
      <c r="E19" s="45">
        <f>Q18</f>
        <v/>
      </c>
      <c r="F19" s="48">
        <f>IF(D19&gt;0,MAX(0,1-E19/D19),0)</f>
        <v/>
      </c>
      <c r="G19" s="45">
        <f>'대시보드_및_설정'!$C$15*12*(1+'대시보드_및_설정'!$C$16)^(B19-1)</f>
        <v/>
      </c>
      <c r="H19" s="45">
        <f>(G19-D19*$C$10)/(1-$C$10)</f>
        <v/>
      </c>
      <c r="I19" s="45">
        <f>IF(D19&lt;=0,0,MIN(D19,MAX(0,IF(H19*F19&lt;='대시보드_및_설정'!$C$19,H19,(G19-D19*$C$10-'대시보드_및_설정'!$C$18*'대시보드_및_설정'!$C$19)/(1-'대시보드_및_설정'!$C$18*F19-$C$10)))))</f>
        <v/>
      </c>
      <c r="J19" s="45">
        <f>MAX(0,I19*F19-'대시보드_및_설정'!$C$19)*'대시보드_및_설정'!$C$18</f>
        <v/>
      </c>
      <c r="K19" s="45">
        <f>D19-I19</f>
        <v/>
      </c>
      <c r="L19" s="45">
        <f>K19*$C$10</f>
        <v/>
      </c>
      <c r="M19" s="45">
        <f>MIN(G19,I19-J19+L19)</f>
        <v/>
      </c>
      <c r="N19" s="45">
        <f>MAX(0,I19-J19+L19-G19)</f>
        <v/>
      </c>
      <c r="O19" s="45">
        <f>K19*$C$8</f>
        <v/>
      </c>
      <c r="P19" s="47">
        <f>K19+O19+N19</f>
        <v/>
      </c>
      <c r="Q19" s="45">
        <f>IF(D19&gt;0,E19*(1-I19/D19),0)+N19</f>
        <v/>
      </c>
      <c r="R19" s="45">
        <f>MAX(0,G19-M19)</f>
        <v/>
      </c>
      <c r="S19" s="54">
        <f>IF(R19&gt;1,"고갈","정상")</f>
        <v/>
      </c>
      <c r="T19" s="45">
        <f>P19/(1+'대시보드_및_설정'!$C$16)^B19</f>
        <v/>
      </c>
    </row>
    <row r="20">
      <c r="A20" s="54" t="n">
        <v>8</v>
      </c>
      <c r="B20" s="54">
        <f>'대시보드_및_설정'!$C$14+A20</f>
        <v/>
      </c>
      <c r="C20" s="32">
        <f>'대시보드_및_설정'!$C$11+B20</f>
        <v/>
      </c>
      <c r="D20" s="45">
        <f>MAX(0,P19)</f>
        <v/>
      </c>
      <c r="E20" s="45">
        <f>Q19</f>
        <v/>
      </c>
      <c r="F20" s="48">
        <f>IF(D20&gt;0,MAX(0,1-E20/D20),0)</f>
        <v/>
      </c>
      <c r="G20" s="45">
        <f>'대시보드_및_설정'!$C$15*12*(1+'대시보드_및_설정'!$C$16)^(B20-1)</f>
        <v/>
      </c>
      <c r="H20" s="45">
        <f>(G20-D20*$C$10)/(1-$C$10)</f>
        <v/>
      </c>
      <c r="I20" s="45">
        <f>IF(D20&lt;=0,0,MIN(D20,MAX(0,IF(H20*F20&lt;='대시보드_및_설정'!$C$19,H20,(G20-D20*$C$10-'대시보드_및_설정'!$C$18*'대시보드_및_설정'!$C$19)/(1-'대시보드_및_설정'!$C$18*F20-$C$10)))))</f>
        <v/>
      </c>
      <c r="J20" s="45">
        <f>MAX(0,I20*F20-'대시보드_및_설정'!$C$19)*'대시보드_및_설정'!$C$18</f>
        <v/>
      </c>
      <c r="K20" s="45">
        <f>D20-I20</f>
        <v/>
      </c>
      <c r="L20" s="45">
        <f>K20*$C$10</f>
        <v/>
      </c>
      <c r="M20" s="45">
        <f>MIN(G20,I20-J20+L20)</f>
        <v/>
      </c>
      <c r="N20" s="45">
        <f>MAX(0,I20-J20+L20-G20)</f>
        <v/>
      </c>
      <c r="O20" s="45">
        <f>K20*$C$8</f>
        <v/>
      </c>
      <c r="P20" s="47">
        <f>K20+O20+N20</f>
        <v/>
      </c>
      <c r="Q20" s="45">
        <f>IF(D20&gt;0,E20*(1-I20/D20),0)+N20</f>
        <v/>
      </c>
      <c r="R20" s="45">
        <f>MAX(0,G20-M20)</f>
        <v/>
      </c>
      <c r="S20" s="54">
        <f>IF(R20&gt;1,"고갈","정상")</f>
        <v/>
      </c>
      <c r="T20" s="45">
        <f>P20/(1+'대시보드_및_설정'!$C$16)^B20</f>
        <v/>
      </c>
    </row>
    <row r="21">
      <c r="A21" s="54" t="n">
        <v>9</v>
      </c>
      <c r="B21" s="54">
        <f>'대시보드_및_설정'!$C$14+A21</f>
        <v/>
      </c>
      <c r="C21" s="32">
        <f>'대시보드_및_설정'!$C$11+B21</f>
        <v/>
      </c>
      <c r="D21" s="45">
        <f>MAX(0,P20)</f>
        <v/>
      </c>
      <c r="E21" s="45">
        <f>Q20</f>
        <v/>
      </c>
      <c r="F21" s="48">
        <f>IF(D21&gt;0,MAX(0,1-E21/D21),0)</f>
        <v/>
      </c>
      <c r="G21" s="45">
        <f>'대시보드_및_설정'!$C$15*12*(1+'대시보드_및_설정'!$C$16)^(B21-1)</f>
        <v/>
      </c>
      <c r="H21" s="45">
        <f>(G21-D21*$C$10)/(1-$C$10)</f>
        <v/>
      </c>
      <c r="I21" s="45">
        <f>IF(D21&lt;=0,0,MIN(D21,MAX(0,IF(H21*F21&lt;='대시보드_및_설정'!$C$19,H21,(G21-D21*$C$10-'대시보드_및_설정'!$C$18*'대시보드_및_설정'!$C$19)/(1-'대시보드_및_설정'!$C$18*F21-$C$10)))))</f>
        <v/>
      </c>
      <c r="J21" s="45">
        <f>MAX(0,I21*F21-'대시보드_및_설정'!$C$19)*'대시보드_및_설정'!$C$18</f>
        <v/>
      </c>
      <c r="K21" s="45">
        <f>D21-I21</f>
        <v/>
      </c>
      <c r="L21" s="45">
        <f>K21*$C$10</f>
        <v/>
      </c>
      <c r="M21" s="45">
        <f>MIN(G21,I21-J21+L21)</f>
        <v/>
      </c>
      <c r="N21" s="45">
        <f>MAX(0,I21-J21+L21-G21)</f>
        <v/>
      </c>
      <c r="O21" s="45">
        <f>K21*$C$8</f>
        <v/>
      </c>
      <c r="P21" s="47">
        <f>K21+O21+N21</f>
        <v/>
      </c>
      <c r="Q21" s="45">
        <f>IF(D21&gt;0,E21*(1-I21/D21),0)+N21</f>
        <v/>
      </c>
      <c r="R21" s="45">
        <f>MAX(0,G21-M21)</f>
        <v/>
      </c>
      <c r="S21" s="54">
        <f>IF(R21&gt;1,"고갈","정상")</f>
        <v/>
      </c>
      <c r="T21" s="45">
        <f>P21/(1+'대시보드_및_설정'!$C$16)^B21</f>
        <v/>
      </c>
    </row>
    <row r="22">
      <c r="A22" s="54" t="n">
        <v>10</v>
      </c>
      <c r="B22" s="54">
        <f>'대시보드_및_설정'!$C$14+A22</f>
        <v/>
      </c>
      <c r="C22" s="32">
        <f>'대시보드_및_설정'!$C$11+B22</f>
        <v/>
      </c>
      <c r="D22" s="45">
        <f>MAX(0,P21)</f>
        <v/>
      </c>
      <c r="E22" s="45">
        <f>Q21</f>
        <v/>
      </c>
      <c r="F22" s="48">
        <f>IF(D22&gt;0,MAX(0,1-E22/D22),0)</f>
        <v/>
      </c>
      <c r="G22" s="45">
        <f>'대시보드_및_설정'!$C$15*12*(1+'대시보드_및_설정'!$C$16)^(B22-1)</f>
        <v/>
      </c>
      <c r="H22" s="45">
        <f>(G22-D22*$C$10)/(1-$C$10)</f>
        <v/>
      </c>
      <c r="I22" s="45">
        <f>IF(D22&lt;=0,0,MIN(D22,MAX(0,IF(H22*F22&lt;='대시보드_및_설정'!$C$19,H22,(G22-D22*$C$10-'대시보드_및_설정'!$C$18*'대시보드_및_설정'!$C$19)/(1-'대시보드_및_설정'!$C$18*F22-$C$10)))))</f>
        <v/>
      </c>
      <c r="J22" s="45">
        <f>MAX(0,I22*F22-'대시보드_및_설정'!$C$19)*'대시보드_및_설정'!$C$18</f>
        <v/>
      </c>
      <c r="K22" s="45">
        <f>D22-I22</f>
        <v/>
      </c>
      <c r="L22" s="45">
        <f>K22*$C$10</f>
        <v/>
      </c>
      <c r="M22" s="45">
        <f>MIN(G22,I22-J22+L22)</f>
        <v/>
      </c>
      <c r="N22" s="45">
        <f>MAX(0,I22-J22+L22-G22)</f>
        <v/>
      </c>
      <c r="O22" s="45">
        <f>K22*$C$8</f>
        <v/>
      </c>
      <c r="P22" s="47">
        <f>K22+O22+N22</f>
        <v/>
      </c>
      <c r="Q22" s="45">
        <f>IF(D22&gt;0,E22*(1-I22/D22),0)+N22</f>
        <v/>
      </c>
      <c r="R22" s="45">
        <f>MAX(0,G22-M22)</f>
        <v/>
      </c>
      <c r="S22" s="54">
        <f>IF(R22&gt;1,"고갈","정상")</f>
        <v/>
      </c>
      <c r="T22" s="45">
        <f>P22/(1+'대시보드_및_설정'!$C$16)^B22</f>
        <v/>
      </c>
    </row>
    <row r="23">
      <c r="A23" s="54" t="n">
        <v>11</v>
      </c>
      <c r="B23" s="54">
        <f>'대시보드_및_설정'!$C$14+A23</f>
        <v/>
      </c>
      <c r="C23" s="32">
        <f>'대시보드_및_설정'!$C$11+B23</f>
        <v/>
      </c>
      <c r="D23" s="45">
        <f>MAX(0,P22)</f>
        <v/>
      </c>
      <c r="E23" s="45">
        <f>Q22</f>
        <v/>
      </c>
      <c r="F23" s="48">
        <f>IF(D23&gt;0,MAX(0,1-E23/D23),0)</f>
        <v/>
      </c>
      <c r="G23" s="45">
        <f>'대시보드_및_설정'!$C$15*12*(1+'대시보드_및_설정'!$C$16)^(B23-1)</f>
        <v/>
      </c>
      <c r="H23" s="45">
        <f>(G23-D23*$C$10)/(1-$C$10)</f>
        <v/>
      </c>
      <c r="I23" s="45">
        <f>IF(D23&lt;=0,0,MIN(D23,MAX(0,IF(H23*F23&lt;='대시보드_및_설정'!$C$19,H23,(G23-D23*$C$10-'대시보드_및_설정'!$C$18*'대시보드_및_설정'!$C$19)/(1-'대시보드_및_설정'!$C$18*F23-$C$10)))))</f>
        <v/>
      </c>
      <c r="J23" s="45">
        <f>MAX(0,I23*F23-'대시보드_및_설정'!$C$19)*'대시보드_및_설정'!$C$18</f>
        <v/>
      </c>
      <c r="K23" s="45">
        <f>D23-I23</f>
        <v/>
      </c>
      <c r="L23" s="45">
        <f>K23*$C$10</f>
        <v/>
      </c>
      <c r="M23" s="45">
        <f>MIN(G23,I23-J23+L23)</f>
        <v/>
      </c>
      <c r="N23" s="45">
        <f>MAX(0,I23-J23+L23-G23)</f>
        <v/>
      </c>
      <c r="O23" s="45">
        <f>K23*$C$8</f>
        <v/>
      </c>
      <c r="P23" s="47">
        <f>K23+O23+N23</f>
        <v/>
      </c>
      <c r="Q23" s="45">
        <f>IF(D23&gt;0,E23*(1-I23/D23),0)+N23</f>
        <v/>
      </c>
      <c r="R23" s="45">
        <f>MAX(0,G23-M23)</f>
        <v/>
      </c>
      <c r="S23" s="54">
        <f>IF(R23&gt;1,"고갈","정상")</f>
        <v/>
      </c>
      <c r="T23" s="45">
        <f>P23/(1+'대시보드_및_설정'!$C$16)^B23</f>
        <v/>
      </c>
    </row>
    <row r="24">
      <c r="A24" s="54" t="n">
        <v>12</v>
      </c>
      <c r="B24" s="54">
        <f>'대시보드_및_설정'!$C$14+A24</f>
        <v/>
      </c>
      <c r="C24" s="32">
        <f>'대시보드_및_설정'!$C$11+B24</f>
        <v/>
      </c>
      <c r="D24" s="45">
        <f>MAX(0,P23)</f>
        <v/>
      </c>
      <c r="E24" s="45">
        <f>Q23</f>
        <v/>
      </c>
      <c r="F24" s="48">
        <f>IF(D24&gt;0,MAX(0,1-E24/D24),0)</f>
        <v/>
      </c>
      <c r="G24" s="45">
        <f>'대시보드_및_설정'!$C$15*12*(1+'대시보드_및_설정'!$C$16)^(B24-1)</f>
        <v/>
      </c>
      <c r="H24" s="45">
        <f>(G24-D24*$C$10)/(1-$C$10)</f>
        <v/>
      </c>
      <c r="I24" s="45">
        <f>IF(D24&lt;=0,0,MIN(D24,MAX(0,IF(H24*F24&lt;='대시보드_및_설정'!$C$19,H24,(G24-D24*$C$10-'대시보드_및_설정'!$C$18*'대시보드_및_설정'!$C$19)/(1-'대시보드_및_설정'!$C$18*F24-$C$10)))))</f>
        <v/>
      </c>
      <c r="J24" s="45">
        <f>MAX(0,I24*F24-'대시보드_및_설정'!$C$19)*'대시보드_및_설정'!$C$18</f>
        <v/>
      </c>
      <c r="K24" s="45">
        <f>D24-I24</f>
        <v/>
      </c>
      <c r="L24" s="45">
        <f>K24*$C$10</f>
        <v/>
      </c>
      <c r="M24" s="45">
        <f>MIN(G24,I24-J24+L24)</f>
        <v/>
      </c>
      <c r="N24" s="45">
        <f>MAX(0,I24-J24+L24-G24)</f>
        <v/>
      </c>
      <c r="O24" s="45">
        <f>K24*$C$8</f>
        <v/>
      </c>
      <c r="P24" s="47">
        <f>K24+O24+N24</f>
        <v/>
      </c>
      <c r="Q24" s="45">
        <f>IF(D24&gt;0,E24*(1-I24/D24),0)+N24</f>
        <v/>
      </c>
      <c r="R24" s="45">
        <f>MAX(0,G24-M24)</f>
        <v/>
      </c>
      <c r="S24" s="54">
        <f>IF(R24&gt;1,"고갈","정상")</f>
        <v/>
      </c>
      <c r="T24" s="45">
        <f>P24/(1+'대시보드_및_설정'!$C$16)^B24</f>
        <v/>
      </c>
    </row>
    <row r="25">
      <c r="A25" s="54" t="n">
        <v>13</v>
      </c>
      <c r="B25" s="54">
        <f>'대시보드_및_설정'!$C$14+A25</f>
        <v/>
      </c>
      <c r="C25" s="32">
        <f>'대시보드_및_설정'!$C$11+B25</f>
        <v/>
      </c>
      <c r="D25" s="45">
        <f>MAX(0,P24)</f>
        <v/>
      </c>
      <c r="E25" s="45">
        <f>Q24</f>
        <v/>
      </c>
      <c r="F25" s="48">
        <f>IF(D25&gt;0,MAX(0,1-E25/D25),0)</f>
        <v/>
      </c>
      <c r="G25" s="45">
        <f>'대시보드_및_설정'!$C$15*12*(1+'대시보드_및_설정'!$C$16)^(B25-1)</f>
        <v/>
      </c>
      <c r="H25" s="45">
        <f>(G25-D25*$C$10)/(1-$C$10)</f>
        <v/>
      </c>
      <c r="I25" s="45">
        <f>IF(D25&lt;=0,0,MIN(D25,MAX(0,IF(H25*F25&lt;='대시보드_및_설정'!$C$19,H25,(G25-D25*$C$10-'대시보드_및_설정'!$C$18*'대시보드_및_설정'!$C$19)/(1-'대시보드_및_설정'!$C$18*F25-$C$10)))))</f>
        <v/>
      </c>
      <c r="J25" s="45">
        <f>MAX(0,I25*F25-'대시보드_및_설정'!$C$19)*'대시보드_및_설정'!$C$18</f>
        <v/>
      </c>
      <c r="K25" s="45">
        <f>D25-I25</f>
        <v/>
      </c>
      <c r="L25" s="45">
        <f>K25*$C$10</f>
        <v/>
      </c>
      <c r="M25" s="45">
        <f>MIN(G25,I25-J25+L25)</f>
        <v/>
      </c>
      <c r="N25" s="45">
        <f>MAX(0,I25-J25+L25-G25)</f>
        <v/>
      </c>
      <c r="O25" s="45">
        <f>K25*$C$8</f>
        <v/>
      </c>
      <c r="P25" s="47">
        <f>K25+O25+N25</f>
        <v/>
      </c>
      <c r="Q25" s="45">
        <f>IF(D25&gt;0,E25*(1-I25/D25),0)+N25</f>
        <v/>
      </c>
      <c r="R25" s="45">
        <f>MAX(0,G25-M25)</f>
        <v/>
      </c>
      <c r="S25" s="54">
        <f>IF(R25&gt;1,"고갈","정상")</f>
        <v/>
      </c>
      <c r="T25" s="45">
        <f>P25/(1+'대시보드_및_설정'!$C$16)^B25</f>
        <v/>
      </c>
    </row>
    <row r="26">
      <c r="A26" s="54" t="n">
        <v>14</v>
      </c>
      <c r="B26" s="54">
        <f>'대시보드_및_설정'!$C$14+A26</f>
        <v/>
      </c>
      <c r="C26" s="32">
        <f>'대시보드_및_설정'!$C$11+B26</f>
        <v/>
      </c>
      <c r="D26" s="45">
        <f>MAX(0,P25)</f>
        <v/>
      </c>
      <c r="E26" s="45">
        <f>Q25</f>
        <v/>
      </c>
      <c r="F26" s="48">
        <f>IF(D26&gt;0,MAX(0,1-E26/D26),0)</f>
        <v/>
      </c>
      <c r="G26" s="45">
        <f>'대시보드_및_설정'!$C$15*12*(1+'대시보드_및_설정'!$C$16)^(B26-1)</f>
        <v/>
      </c>
      <c r="H26" s="45">
        <f>(G26-D26*$C$10)/(1-$C$10)</f>
        <v/>
      </c>
      <c r="I26" s="45">
        <f>IF(D26&lt;=0,0,MIN(D26,MAX(0,IF(H26*F26&lt;='대시보드_및_설정'!$C$19,H26,(G26-D26*$C$10-'대시보드_및_설정'!$C$18*'대시보드_및_설정'!$C$19)/(1-'대시보드_및_설정'!$C$18*F26-$C$10)))))</f>
        <v/>
      </c>
      <c r="J26" s="45">
        <f>MAX(0,I26*F26-'대시보드_및_설정'!$C$19)*'대시보드_및_설정'!$C$18</f>
        <v/>
      </c>
      <c r="K26" s="45">
        <f>D26-I26</f>
        <v/>
      </c>
      <c r="L26" s="45">
        <f>K26*$C$10</f>
        <v/>
      </c>
      <c r="M26" s="45">
        <f>MIN(G26,I26-J26+L26)</f>
        <v/>
      </c>
      <c r="N26" s="45">
        <f>MAX(0,I26-J26+L26-G26)</f>
        <v/>
      </c>
      <c r="O26" s="45">
        <f>K26*$C$8</f>
        <v/>
      </c>
      <c r="P26" s="47">
        <f>K26+O26+N26</f>
        <v/>
      </c>
      <c r="Q26" s="45">
        <f>IF(D26&gt;0,E26*(1-I26/D26),0)+N26</f>
        <v/>
      </c>
      <c r="R26" s="45">
        <f>MAX(0,G26-M26)</f>
        <v/>
      </c>
      <c r="S26" s="54">
        <f>IF(R26&gt;1,"고갈","정상")</f>
        <v/>
      </c>
      <c r="T26" s="45">
        <f>P26/(1+'대시보드_및_설정'!$C$16)^B26</f>
        <v/>
      </c>
    </row>
    <row r="27">
      <c r="A27" s="54" t="n">
        <v>15</v>
      </c>
      <c r="B27" s="54">
        <f>'대시보드_및_설정'!$C$14+A27</f>
        <v/>
      </c>
      <c r="C27" s="32">
        <f>'대시보드_및_설정'!$C$11+B27</f>
        <v/>
      </c>
      <c r="D27" s="45">
        <f>MAX(0,P26)</f>
        <v/>
      </c>
      <c r="E27" s="45">
        <f>Q26</f>
        <v/>
      </c>
      <c r="F27" s="48">
        <f>IF(D27&gt;0,MAX(0,1-E27/D27),0)</f>
        <v/>
      </c>
      <c r="G27" s="45">
        <f>'대시보드_및_설정'!$C$15*12*(1+'대시보드_및_설정'!$C$16)^(B27-1)</f>
        <v/>
      </c>
      <c r="H27" s="45">
        <f>(G27-D27*$C$10)/(1-$C$10)</f>
        <v/>
      </c>
      <c r="I27" s="45">
        <f>IF(D27&lt;=0,0,MIN(D27,MAX(0,IF(H27*F27&lt;='대시보드_및_설정'!$C$19,H27,(G27-D27*$C$10-'대시보드_및_설정'!$C$18*'대시보드_및_설정'!$C$19)/(1-'대시보드_및_설정'!$C$18*F27-$C$10)))))</f>
        <v/>
      </c>
      <c r="J27" s="45">
        <f>MAX(0,I27*F27-'대시보드_및_설정'!$C$19)*'대시보드_및_설정'!$C$18</f>
        <v/>
      </c>
      <c r="K27" s="45">
        <f>D27-I27</f>
        <v/>
      </c>
      <c r="L27" s="45">
        <f>K27*$C$10</f>
        <v/>
      </c>
      <c r="M27" s="45">
        <f>MIN(G27,I27-J27+L27)</f>
        <v/>
      </c>
      <c r="N27" s="45">
        <f>MAX(0,I27-J27+L27-G27)</f>
        <v/>
      </c>
      <c r="O27" s="45">
        <f>K27*$C$8</f>
        <v/>
      </c>
      <c r="P27" s="47">
        <f>K27+O27+N27</f>
        <v/>
      </c>
      <c r="Q27" s="45">
        <f>IF(D27&gt;0,E27*(1-I27/D27),0)+N27</f>
        <v/>
      </c>
      <c r="R27" s="45">
        <f>MAX(0,G27-M27)</f>
        <v/>
      </c>
      <c r="S27" s="54">
        <f>IF(R27&gt;1,"고갈","정상")</f>
        <v/>
      </c>
      <c r="T27" s="45">
        <f>P27/(1+'대시보드_및_설정'!$C$16)^B27</f>
        <v/>
      </c>
    </row>
    <row r="28">
      <c r="A28" s="54" t="n">
        <v>16</v>
      </c>
      <c r="B28" s="54">
        <f>'대시보드_및_설정'!$C$14+A28</f>
        <v/>
      </c>
      <c r="C28" s="32">
        <f>'대시보드_및_설정'!$C$11+B28</f>
        <v/>
      </c>
      <c r="D28" s="45">
        <f>MAX(0,P27)</f>
        <v/>
      </c>
      <c r="E28" s="45">
        <f>Q27</f>
        <v/>
      </c>
      <c r="F28" s="48">
        <f>IF(D28&gt;0,MAX(0,1-E28/D28),0)</f>
        <v/>
      </c>
      <c r="G28" s="45">
        <f>'대시보드_및_설정'!$C$15*12*(1+'대시보드_및_설정'!$C$16)^(B28-1)</f>
        <v/>
      </c>
      <c r="H28" s="45">
        <f>(G28-D28*$C$10)/(1-$C$10)</f>
        <v/>
      </c>
      <c r="I28" s="45">
        <f>IF(D28&lt;=0,0,MIN(D28,MAX(0,IF(H28*F28&lt;='대시보드_및_설정'!$C$19,H28,(G28-D28*$C$10-'대시보드_및_설정'!$C$18*'대시보드_및_설정'!$C$19)/(1-'대시보드_및_설정'!$C$18*F28-$C$10)))))</f>
        <v/>
      </c>
      <c r="J28" s="45">
        <f>MAX(0,I28*F28-'대시보드_및_설정'!$C$19)*'대시보드_및_설정'!$C$18</f>
        <v/>
      </c>
      <c r="K28" s="45">
        <f>D28-I28</f>
        <v/>
      </c>
      <c r="L28" s="45">
        <f>K28*$C$10</f>
        <v/>
      </c>
      <c r="M28" s="45">
        <f>MIN(G28,I28-J28+L28)</f>
        <v/>
      </c>
      <c r="N28" s="45">
        <f>MAX(0,I28-J28+L28-G28)</f>
        <v/>
      </c>
      <c r="O28" s="45">
        <f>K28*$C$8</f>
        <v/>
      </c>
      <c r="P28" s="47">
        <f>K28+O28+N28</f>
        <v/>
      </c>
      <c r="Q28" s="45">
        <f>IF(D28&gt;0,E28*(1-I28/D28),0)+N28</f>
        <v/>
      </c>
      <c r="R28" s="45">
        <f>MAX(0,G28-M28)</f>
        <v/>
      </c>
      <c r="S28" s="54">
        <f>IF(R28&gt;1,"고갈","정상")</f>
        <v/>
      </c>
      <c r="T28" s="45">
        <f>P28/(1+'대시보드_및_설정'!$C$16)^B28</f>
        <v/>
      </c>
    </row>
    <row r="29">
      <c r="A29" s="54" t="n">
        <v>17</v>
      </c>
      <c r="B29" s="54">
        <f>'대시보드_및_설정'!$C$14+A29</f>
        <v/>
      </c>
      <c r="C29" s="32">
        <f>'대시보드_및_설정'!$C$11+B29</f>
        <v/>
      </c>
      <c r="D29" s="45">
        <f>MAX(0,P28)</f>
        <v/>
      </c>
      <c r="E29" s="45">
        <f>Q28</f>
        <v/>
      </c>
      <c r="F29" s="48">
        <f>IF(D29&gt;0,MAX(0,1-E29/D29),0)</f>
        <v/>
      </c>
      <c r="G29" s="45">
        <f>'대시보드_및_설정'!$C$15*12*(1+'대시보드_및_설정'!$C$16)^(B29-1)</f>
        <v/>
      </c>
      <c r="H29" s="45">
        <f>(G29-D29*$C$10)/(1-$C$10)</f>
        <v/>
      </c>
      <c r="I29" s="45">
        <f>IF(D29&lt;=0,0,MIN(D29,MAX(0,IF(H29*F29&lt;='대시보드_및_설정'!$C$19,H29,(G29-D29*$C$10-'대시보드_및_설정'!$C$18*'대시보드_및_설정'!$C$19)/(1-'대시보드_및_설정'!$C$18*F29-$C$10)))))</f>
        <v/>
      </c>
      <c r="J29" s="45">
        <f>MAX(0,I29*F29-'대시보드_및_설정'!$C$19)*'대시보드_및_설정'!$C$18</f>
        <v/>
      </c>
      <c r="K29" s="45">
        <f>D29-I29</f>
        <v/>
      </c>
      <c r="L29" s="45">
        <f>K29*$C$10</f>
        <v/>
      </c>
      <c r="M29" s="45">
        <f>MIN(G29,I29-J29+L29)</f>
        <v/>
      </c>
      <c r="N29" s="45">
        <f>MAX(0,I29-J29+L29-G29)</f>
        <v/>
      </c>
      <c r="O29" s="45">
        <f>K29*$C$8</f>
        <v/>
      </c>
      <c r="P29" s="47">
        <f>K29+O29+N29</f>
        <v/>
      </c>
      <c r="Q29" s="45">
        <f>IF(D29&gt;0,E29*(1-I29/D29),0)+N29</f>
        <v/>
      </c>
      <c r="R29" s="45">
        <f>MAX(0,G29-M29)</f>
        <v/>
      </c>
      <c r="S29" s="54">
        <f>IF(R29&gt;1,"고갈","정상")</f>
        <v/>
      </c>
      <c r="T29" s="45">
        <f>P29/(1+'대시보드_및_설정'!$C$16)^B29</f>
        <v/>
      </c>
    </row>
    <row r="30">
      <c r="A30" s="54" t="n">
        <v>18</v>
      </c>
      <c r="B30" s="54">
        <f>'대시보드_및_설정'!$C$14+A30</f>
        <v/>
      </c>
      <c r="C30" s="32">
        <f>'대시보드_및_설정'!$C$11+B30</f>
        <v/>
      </c>
      <c r="D30" s="45">
        <f>MAX(0,P29)</f>
        <v/>
      </c>
      <c r="E30" s="45">
        <f>Q29</f>
        <v/>
      </c>
      <c r="F30" s="48">
        <f>IF(D30&gt;0,MAX(0,1-E30/D30),0)</f>
        <v/>
      </c>
      <c r="G30" s="45">
        <f>'대시보드_및_설정'!$C$15*12*(1+'대시보드_및_설정'!$C$16)^(B30-1)</f>
        <v/>
      </c>
      <c r="H30" s="45">
        <f>(G30-D30*$C$10)/(1-$C$10)</f>
        <v/>
      </c>
      <c r="I30" s="45">
        <f>IF(D30&lt;=0,0,MIN(D30,MAX(0,IF(H30*F30&lt;='대시보드_및_설정'!$C$19,H30,(G30-D30*$C$10-'대시보드_및_설정'!$C$18*'대시보드_및_설정'!$C$19)/(1-'대시보드_및_설정'!$C$18*F30-$C$10)))))</f>
        <v/>
      </c>
      <c r="J30" s="45">
        <f>MAX(0,I30*F30-'대시보드_및_설정'!$C$19)*'대시보드_및_설정'!$C$18</f>
        <v/>
      </c>
      <c r="K30" s="45">
        <f>D30-I30</f>
        <v/>
      </c>
      <c r="L30" s="45">
        <f>K30*$C$10</f>
        <v/>
      </c>
      <c r="M30" s="45">
        <f>MIN(G30,I30-J30+L30)</f>
        <v/>
      </c>
      <c r="N30" s="45">
        <f>MAX(0,I30-J30+L30-G30)</f>
        <v/>
      </c>
      <c r="O30" s="45">
        <f>K30*$C$8</f>
        <v/>
      </c>
      <c r="P30" s="47">
        <f>K30+O30+N30</f>
        <v/>
      </c>
      <c r="Q30" s="45">
        <f>IF(D30&gt;0,E30*(1-I30/D30),0)+N30</f>
        <v/>
      </c>
      <c r="R30" s="45">
        <f>MAX(0,G30-M30)</f>
        <v/>
      </c>
      <c r="S30" s="54">
        <f>IF(R30&gt;1,"고갈","정상")</f>
        <v/>
      </c>
      <c r="T30" s="45">
        <f>P30/(1+'대시보드_및_설정'!$C$16)^B30</f>
        <v/>
      </c>
    </row>
    <row r="31">
      <c r="A31" s="54" t="n">
        <v>19</v>
      </c>
      <c r="B31" s="54">
        <f>'대시보드_및_설정'!$C$14+A31</f>
        <v/>
      </c>
      <c r="C31" s="32">
        <f>'대시보드_및_설정'!$C$11+B31</f>
        <v/>
      </c>
      <c r="D31" s="45">
        <f>MAX(0,P30)</f>
        <v/>
      </c>
      <c r="E31" s="45">
        <f>Q30</f>
        <v/>
      </c>
      <c r="F31" s="48">
        <f>IF(D31&gt;0,MAX(0,1-E31/D31),0)</f>
        <v/>
      </c>
      <c r="G31" s="45">
        <f>'대시보드_및_설정'!$C$15*12*(1+'대시보드_및_설정'!$C$16)^(B31-1)</f>
        <v/>
      </c>
      <c r="H31" s="45">
        <f>(G31-D31*$C$10)/(1-$C$10)</f>
        <v/>
      </c>
      <c r="I31" s="45">
        <f>IF(D31&lt;=0,0,MIN(D31,MAX(0,IF(H31*F31&lt;='대시보드_및_설정'!$C$19,H31,(G31-D31*$C$10-'대시보드_및_설정'!$C$18*'대시보드_및_설정'!$C$19)/(1-'대시보드_및_설정'!$C$18*F31-$C$10)))))</f>
        <v/>
      </c>
      <c r="J31" s="45">
        <f>MAX(0,I31*F31-'대시보드_및_설정'!$C$19)*'대시보드_및_설정'!$C$18</f>
        <v/>
      </c>
      <c r="K31" s="45">
        <f>D31-I31</f>
        <v/>
      </c>
      <c r="L31" s="45">
        <f>K31*$C$10</f>
        <v/>
      </c>
      <c r="M31" s="45">
        <f>MIN(G31,I31-J31+L31)</f>
        <v/>
      </c>
      <c r="N31" s="45">
        <f>MAX(0,I31-J31+L31-G31)</f>
        <v/>
      </c>
      <c r="O31" s="45">
        <f>K31*$C$8</f>
        <v/>
      </c>
      <c r="P31" s="47">
        <f>K31+O31+N31</f>
        <v/>
      </c>
      <c r="Q31" s="45">
        <f>IF(D31&gt;0,E31*(1-I31/D31),0)+N31</f>
        <v/>
      </c>
      <c r="R31" s="45">
        <f>MAX(0,G31-M31)</f>
        <v/>
      </c>
      <c r="S31" s="54">
        <f>IF(R31&gt;1,"고갈","정상")</f>
        <v/>
      </c>
      <c r="T31" s="45">
        <f>P31/(1+'대시보드_및_설정'!$C$16)^B31</f>
        <v/>
      </c>
    </row>
    <row r="32">
      <c r="A32" s="54" t="n">
        <v>20</v>
      </c>
      <c r="B32" s="54">
        <f>'대시보드_및_설정'!$C$14+A32</f>
        <v/>
      </c>
      <c r="C32" s="32">
        <f>'대시보드_및_설정'!$C$11+B32</f>
        <v/>
      </c>
      <c r="D32" s="45">
        <f>MAX(0,P31)</f>
        <v/>
      </c>
      <c r="E32" s="45">
        <f>Q31</f>
        <v/>
      </c>
      <c r="F32" s="48">
        <f>IF(D32&gt;0,MAX(0,1-E32/D32),0)</f>
        <v/>
      </c>
      <c r="G32" s="45">
        <f>'대시보드_및_설정'!$C$15*12*(1+'대시보드_및_설정'!$C$16)^(B32-1)</f>
        <v/>
      </c>
      <c r="H32" s="45">
        <f>(G32-D32*$C$10)/(1-$C$10)</f>
        <v/>
      </c>
      <c r="I32" s="45">
        <f>IF(D32&lt;=0,0,MIN(D32,MAX(0,IF(H32*F32&lt;='대시보드_및_설정'!$C$19,H32,(G32-D32*$C$10-'대시보드_및_설정'!$C$18*'대시보드_및_설정'!$C$19)/(1-'대시보드_및_설정'!$C$18*F32-$C$10)))))</f>
        <v/>
      </c>
      <c r="J32" s="45">
        <f>MAX(0,I32*F32-'대시보드_및_설정'!$C$19)*'대시보드_및_설정'!$C$18</f>
        <v/>
      </c>
      <c r="K32" s="45">
        <f>D32-I32</f>
        <v/>
      </c>
      <c r="L32" s="45">
        <f>K32*$C$10</f>
        <v/>
      </c>
      <c r="M32" s="45">
        <f>MIN(G32,I32-J32+L32)</f>
        <v/>
      </c>
      <c r="N32" s="45">
        <f>MAX(0,I32-J32+L32-G32)</f>
        <v/>
      </c>
      <c r="O32" s="45">
        <f>K32*$C$8</f>
        <v/>
      </c>
      <c r="P32" s="47">
        <f>K32+O32+N32</f>
        <v/>
      </c>
      <c r="Q32" s="45">
        <f>IF(D32&gt;0,E32*(1-I32/D32),0)+N32</f>
        <v/>
      </c>
      <c r="R32" s="45">
        <f>MAX(0,G32-M32)</f>
        <v/>
      </c>
      <c r="S32" s="54">
        <f>IF(R32&gt;1,"고갈","정상")</f>
        <v/>
      </c>
      <c r="T32" s="45">
        <f>P32/(1+'대시보드_및_설정'!$C$16)^B32</f>
        <v/>
      </c>
    </row>
    <row r="33">
      <c r="A33" s="54" t="n">
        <v>21</v>
      </c>
      <c r="B33" s="54">
        <f>'대시보드_및_설정'!$C$14+A33</f>
        <v/>
      </c>
      <c r="C33" s="32">
        <f>'대시보드_및_설정'!$C$11+B33</f>
        <v/>
      </c>
      <c r="D33" s="45">
        <f>MAX(0,P32)</f>
        <v/>
      </c>
      <c r="E33" s="45">
        <f>Q32</f>
        <v/>
      </c>
      <c r="F33" s="48">
        <f>IF(D33&gt;0,MAX(0,1-E33/D33),0)</f>
        <v/>
      </c>
      <c r="G33" s="45">
        <f>'대시보드_및_설정'!$C$15*12*(1+'대시보드_및_설정'!$C$16)^(B33-1)</f>
        <v/>
      </c>
      <c r="H33" s="45">
        <f>(G33-D33*$C$10)/(1-$C$10)</f>
        <v/>
      </c>
      <c r="I33" s="45">
        <f>IF(D33&lt;=0,0,MIN(D33,MAX(0,IF(H33*F33&lt;='대시보드_및_설정'!$C$19,H33,(G33-D33*$C$10-'대시보드_및_설정'!$C$18*'대시보드_및_설정'!$C$19)/(1-'대시보드_및_설정'!$C$18*F33-$C$10)))))</f>
        <v/>
      </c>
      <c r="J33" s="45">
        <f>MAX(0,I33*F33-'대시보드_및_설정'!$C$19)*'대시보드_및_설정'!$C$18</f>
        <v/>
      </c>
      <c r="K33" s="45">
        <f>D33-I33</f>
        <v/>
      </c>
      <c r="L33" s="45">
        <f>K33*$C$10</f>
        <v/>
      </c>
      <c r="M33" s="45">
        <f>MIN(G33,I33-J33+L33)</f>
        <v/>
      </c>
      <c r="N33" s="45">
        <f>MAX(0,I33-J33+L33-G33)</f>
        <v/>
      </c>
      <c r="O33" s="45">
        <f>K33*$C$8</f>
        <v/>
      </c>
      <c r="P33" s="47">
        <f>K33+O33+N33</f>
        <v/>
      </c>
      <c r="Q33" s="45">
        <f>IF(D33&gt;0,E33*(1-I33/D33),0)+N33</f>
        <v/>
      </c>
      <c r="R33" s="45">
        <f>MAX(0,G33-M33)</f>
        <v/>
      </c>
      <c r="S33" s="54">
        <f>IF(R33&gt;1,"고갈","정상")</f>
        <v/>
      </c>
      <c r="T33" s="45">
        <f>P33/(1+'대시보드_및_설정'!$C$16)^B33</f>
        <v/>
      </c>
    </row>
    <row r="34">
      <c r="A34" s="54" t="n">
        <v>22</v>
      </c>
      <c r="B34" s="54">
        <f>'대시보드_및_설정'!$C$14+A34</f>
        <v/>
      </c>
      <c r="C34" s="32">
        <f>'대시보드_및_설정'!$C$11+B34</f>
        <v/>
      </c>
      <c r="D34" s="45">
        <f>MAX(0,P33)</f>
        <v/>
      </c>
      <c r="E34" s="45">
        <f>Q33</f>
        <v/>
      </c>
      <c r="F34" s="48">
        <f>IF(D34&gt;0,MAX(0,1-E34/D34),0)</f>
        <v/>
      </c>
      <c r="G34" s="45">
        <f>'대시보드_및_설정'!$C$15*12*(1+'대시보드_및_설정'!$C$16)^(B34-1)</f>
        <v/>
      </c>
      <c r="H34" s="45">
        <f>(G34-D34*$C$10)/(1-$C$10)</f>
        <v/>
      </c>
      <c r="I34" s="45">
        <f>IF(D34&lt;=0,0,MIN(D34,MAX(0,IF(H34*F34&lt;='대시보드_및_설정'!$C$19,H34,(G34-D34*$C$10-'대시보드_및_설정'!$C$18*'대시보드_및_설정'!$C$19)/(1-'대시보드_및_설정'!$C$18*F34-$C$10)))))</f>
        <v/>
      </c>
      <c r="J34" s="45">
        <f>MAX(0,I34*F34-'대시보드_및_설정'!$C$19)*'대시보드_및_설정'!$C$18</f>
        <v/>
      </c>
      <c r="K34" s="45">
        <f>D34-I34</f>
        <v/>
      </c>
      <c r="L34" s="45">
        <f>K34*$C$10</f>
        <v/>
      </c>
      <c r="M34" s="45">
        <f>MIN(G34,I34-J34+L34)</f>
        <v/>
      </c>
      <c r="N34" s="45">
        <f>MAX(0,I34-J34+L34-G34)</f>
        <v/>
      </c>
      <c r="O34" s="45">
        <f>K34*$C$8</f>
        <v/>
      </c>
      <c r="P34" s="47">
        <f>K34+O34+N34</f>
        <v/>
      </c>
      <c r="Q34" s="45">
        <f>IF(D34&gt;0,E34*(1-I34/D34),0)+N34</f>
        <v/>
      </c>
      <c r="R34" s="45">
        <f>MAX(0,G34-M34)</f>
        <v/>
      </c>
      <c r="S34" s="54">
        <f>IF(R34&gt;1,"고갈","정상")</f>
        <v/>
      </c>
      <c r="T34" s="45">
        <f>P34/(1+'대시보드_및_설정'!$C$16)^B34</f>
        <v/>
      </c>
    </row>
    <row r="35">
      <c r="A35" s="54" t="n">
        <v>23</v>
      </c>
      <c r="B35" s="54">
        <f>'대시보드_및_설정'!$C$14+A35</f>
        <v/>
      </c>
      <c r="C35" s="32">
        <f>'대시보드_및_설정'!$C$11+B35</f>
        <v/>
      </c>
      <c r="D35" s="45">
        <f>MAX(0,P34)</f>
        <v/>
      </c>
      <c r="E35" s="45">
        <f>Q34</f>
        <v/>
      </c>
      <c r="F35" s="48">
        <f>IF(D35&gt;0,MAX(0,1-E35/D35),0)</f>
        <v/>
      </c>
      <c r="G35" s="45">
        <f>'대시보드_및_설정'!$C$15*12*(1+'대시보드_및_설정'!$C$16)^(B35-1)</f>
        <v/>
      </c>
      <c r="H35" s="45">
        <f>(G35-D35*$C$10)/(1-$C$10)</f>
        <v/>
      </c>
      <c r="I35" s="45">
        <f>IF(D35&lt;=0,0,MIN(D35,MAX(0,IF(H35*F35&lt;='대시보드_및_설정'!$C$19,H35,(G35-D35*$C$10-'대시보드_및_설정'!$C$18*'대시보드_및_설정'!$C$19)/(1-'대시보드_및_설정'!$C$18*F35-$C$10)))))</f>
        <v/>
      </c>
      <c r="J35" s="45">
        <f>MAX(0,I35*F35-'대시보드_및_설정'!$C$19)*'대시보드_및_설정'!$C$18</f>
        <v/>
      </c>
      <c r="K35" s="45">
        <f>D35-I35</f>
        <v/>
      </c>
      <c r="L35" s="45">
        <f>K35*$C$10</f>
        <v/>
      </c>
      <c r="M35" s="45">
        <f>MIN(G35,I35-J35+L35)</f>
        <v/>
      </c>
      <c r="N35" s="45">
        <f>MAX(0,I35-J35+L35-G35)</f>
        <v/>
      </c>
      <c r="O35" s="45">
        <f>K35*$C$8</f>
        <v/>
      </c>
      <c r="P35" s="47">
        <f>K35+O35+N35</f>
        <v/>
      </c>
      <c r="Q35" s="45">
        <f>IF(D35&gt;0,E35*(1-I35/D35),0)+N35</f>
        <v/>
      </c>
      <c r="R35" s="45">
        <f>MAX(0,G35-M35)</f>
        <v/>
      </c>
      <c r="S35" s="54">
        <f>IF(R35&gt;1,"고갈","정상")</f>
        <v/>
      </c>
      <c r="T35" s="45">
        <f>P35/(1+'대시보드_및_설정'!$C$16)^B35</f>
        <v/>
      </c>
    </row>
    <row r="36">
      <c r="A36" s="54" t="n">
        <v>24</v>
      </c>
      <c r="B36" s="54">
        <f>'대시보드_및_설정'!$C$14+A36</f>
        <v/>
      </c>
      <c r="C36" s="32">
        <f>'대시보드_및_설정'!$C$11+B36</f>
        <v/>
      </c>
      <c r="D36" s="45">
        <f>MAX(0,P35)</f>
        <v/>
      </c>
      <c r="E36" s="45">
        <f>Q35</f>
        <v/>
      </c>
      <c r="F36" s="48">
        <f>IF(D36&gt;0,MAX(0,1-E36/D36),0)</f>
        <v/>
      </c>
      <c r="G36" s="45">
        <f>'대시보드_및_설정'!$C$15*12*(1+'대시보드_및_설정'!$C$16)^(B36-1)</f>
        <v/>
      </c>
      <c r="H36" s="45">
        <f>(G36-D36*$C$10)/(1-$C$10)</f>
        <v/>
      </c>
      <c r="I36" s="45">
        <f>IF(D36&lt;=0,0,MIN(D36,MAX(0,IF(H36*F36&lt;='대시보드_및_설정'!$C$19,H36,(G36-D36*$C$10-'대시보드_및_설정'!$C$18*'대시보드_및_설정'!$C$19)/(1-'대시보드_및_설정'!$C$18*F36-$C$10)))))</f>
        <v/>
      </c>
      <c r="J36" s="45">
        <f>MAX(0,I36*F36-'대시보드_및_설정'!$C$19)*'대시보드_및_설정'!$C$18</f>
        <v/>
      </c>
      <c r="K36" s="45">
        <f>D36-I36</f>
        <v/>
      </c>
      <c r="L36" s="45">
        <f>K36*$C$10</f>
        <v/>
      </c>
      <c r="M36" s="45">
        <f>MIN(G36,I36-J36+L36)</f>
        <v/>
      </c>
      <c r="N36" s="45">
        <f>MAX(0,I36-J36+L36-G36)</f>
        <v/>
      </c>
      <c r="O36" s="45">
        <f>K36*$C$8</f>
        <v/>
      </c>
      <c r="P36" s="47">
        <f>K36+O36+N36</f>
        <v/>
      </c>
      <c r="Q36" s="45">
        <f>IF(D36&gt;0,E36*(1-I36/D36),0)+N36</f>
        <v/>
      </c>
      <c r="R36" s="45">
        <f>MAX(0,G36-M36)</f>
        <v/>
      </c>
      <c r="S36" s="54">
        <f>IF(R36&gt;1,"고갈","정상")</f>
        <v/>
      </c>
      <c r="T36" s="45">
        <f>P36/(1+'대시보드_및_설정'!$C$16)^B36</f>
        <v/>
      </c>
    </row>
    <row r="37">
      <c r="A37" s="54" t="n">
        <v>25</v>
      </c>
      <c r="B37" s="54">
        <f>'대시보드_및_설정'!$C$14+A37</f>
        <v/>
      </c>
      <c r="C37" s="32">
        <f>'대시보드_및_설정'!$C$11+B37</f>
        <v/>
      </c>
      <c r="D37" s="45">
        <f>MAX(0,P36)</f>
        <v/>
      </c>
      <c r="E37" s="45">
        <f>Q36</f>
        <v/>
      </c>
      <c r="F37" s="48">
        <f>IF(D37&gt;0,MAX(0,1-E37/D37),0)</f>
        <v/>
      </c>
      <c r="G37" s="45">
        <f>'대시보드_및_설정'!$C$15*12*(1+'대시보드_및_설정'!$C$16)^(B37-1)</f>
        <v/>
      </c>
      <c r="H37" s="45">
        <f>(G37-D37*$C$10)/(1-$C$10)</f>
        <v/>
      </c>
      <c r="I37" s="45">
        <f>IF(D37&lt;=0,0,MIN(D37,MAX(0,IF(H37*F37&lt;='대시보드_및_설정'!$C$19,H37,(G37-D37*$C$10-'대시보드_및_설정'!$C$18*'대시보드_및_설정'!$C$19)/(1-'대시보드_및_설정'!$C$18*F37-$C$10)))))</f>
        <v/>
      </c>
      <c r="J37" s="45">
        <f>MAX(0,I37*F37-'대시보드_및_설정'!$C$19)*'대시보드_및_설정'!$C$18</f>
        <v/>
      </c>
      <c r="K37" s="45">
        <f>D37-I37</f>
        <v/>
      </c>
      <c r="L37" s="45">
        <f>K37*$C$10</f>
        <v/>
      </c>
      <c r="M37" s="45">
        <f>MIN(G37,I37-J37+L37)</f>
        <v/>
      </c>
      <c r="N37" s="45">
        <f>MAX(0,I37-J37+L37-G37)</f>
        <v/>
      </c>
      <c r="O37" s="45">
        <f>K37*$C$8</f>
        <v/>
      </c>
      <c r="P37" s="47">
        <f>K37+O37+N37</f>
        <v/>
      </c>
      <c r="Q37" s="45">
        <f>IF(D37&gt;0,E37*(1-I37/D37),0)+N37</f>
        <v/>
      </c>
      <c r="R37" s="45">
        <f>MAX(0,G37-M37)</f>
        <v/>
      </c>
      <c r="S37" s="54">
        <f>IF(R37&gt;1,"고갈","정상")</f>
        <v/>
      </c>
      <c r="T37" s="45">
        <f>P37/(1+'대시보드_및_설정'!$C$16)^B37</f>
        <v/>
      </c>
    </row>
    <row r="38">
      <c r="A38" s="54" t="n">
        <v>26</v>
      </c>
      <c r="B38" s="54">
        <f>'대시보드_및_설정'!$C$14+A38</f>
        <v/>
      </c>
      <c r="C38" s="32">
        <f>'대시보드_및_설정'!$C$11+B38</f>
        <v/>
      </c>
      <c r="D38" s="45">
        <f>MAX(0,P37)</f>
        <v/>
      </c>
      <c r="E38" s="45">
        <f>Q37</f>
        <v/>
      </c>
      <c r="F38" s="48">
        <f>IF(D38&gt;0,MAX(0,1-E38/D38),0)</f>
        <v/>
      </c>
      <c r="G38" s="45">
        <f>'대시보드_및_설정'!$C$15*12*(1+'대시보드_및_설정'!$C$16)^(B38-1)</f>
        <v/>
      </c>
      <c r="H38" s="45">
        <f>(G38-D38*$C$10)/(1-$C$10)</f>
        <v/>
      </c>
      <c r="I38" s="45">
        <f>IF(D38&lt;=0,0,MIN(D38,MAX(0,IF(H38*F38&lt;='대시보드_및_설정'!$C$19,H38,(G38-D38*$C$10-'대시보드_및_설정'!$C$18*'대시보드_및_설정'!$C$19)/(1-'대시보드_및_설정'!$C$18*F38-$C$10)))))</f>
        <v/>
      </c>
      <c r="J38" s="45">
        <f>MAX(0,I38*F38-'대시보드_및_설정'!$C$19)*'대시보드_및_설정'!$C$18</f>
        <v/>
      </c>
      <c r="K38" s="45">
        <f>D38-I38</f>
        <v/>
      </c>
      <c r="L38" s="45">
        <f>K38*$C$10</f>
        <v/>
      </c>
      <c r="M38" s="45">
        <f>MIN(G38,I38-J38+L38)</f>
        <v/>
      </c>
      <c r="N38" s="45">
        <f>MAX(0,I38-J38+L38-G38)</f>
        <v/>
      </c>
      <c r="O38" s="45">
        <f>K38*$C$8</f>
        <v/>
      </c>
      <c r="P38" s="47">
        <f>K38+O38+N38</f>
        <v/>
      </c>
      <c r="Q38" s="45">
        <f>IF(D38&gt;0,E38*(1-I38/D38),0)+N38</f>
        <v/>
      </c>
      <c r="R38" s="45">
        <f>MAX(0,G38-M38)</f>
        <v/>
      </c>
      <c r="S38" s="54">
        <f>IF(R38&gt;1,"고갈","정상")</f>
        <v/>
      </c>
      <c r="T38" s="45">
        <f>P38/(1+'대시보드_및_설정'!$C$16)^B38</f>
        <v/>
      </c>
    </row>
    <row r="39">
      <c r="A39" s="54" t="n">
        <v>27</v>
      </c>
      <c r="B39" s="54">
        <f>'대시보드_및_설정'!$C$14+A39</f>
        <v/>
      </c>
      <c r="C39" s="32">
        <f>'대시보드_및_설정'!$C$11+B39</f>
        <v/>
      </c>
      <c r="D39" s="45">
        <f>MAX(0,P38)</f>
        <v/>
      </c>
      <c r="E39" s="45">
        <f>Q38</f>
        <v/>
      </c>
      <c r="F39" s="48">
        <f>IF(D39&gt;0,MAX(0,1-E39/D39),0)</f>
        <v/>
      </c>
      <c r="G39" s="45">
        <f>'대시보드_및_설정'!$C$15*12*(1+'대시보드_및_설정'!$C$16)^(B39-1)</f>
        <v/>
      </c>
      <c r="H39" s="45">
        <f>(G39-D39*$C$10)/(1-$C$10)</f>
        <v/>
      </c>
      <c r="I39" s="45">
        <f>IF(D39&lt;=0,0,MIN(D39,MAX(0,IF(H39*F39&lt;='대시보드_및_설정'!$C$19,H39,(G39-D39*$C$10-'대시보드_및_설정'!$C$18*'대시보드_및_설정'!$C$19)/(1-'대시보드_및_설정'!$C$18*F39-$C$10)))))</f>
        <v/>
      </c>
      <c r="J39" s="45">
        <f>MAX(0,I39*F39-'대시보드_및_설정'!$C$19)*'대시보드_및_설정'!$C$18</f>
        <v/>
      </c>
      <c r="K39" s="45">
        <f>D39-I39</f>
        <v/>
      </c>
      <c r="L39" s="45">
        <f>K39*$C$10</f>
        <v/>
      </c>
      <c r="M39" s="45">
        <f>MIN(G39,I39-J39+L39)</f>
        <v/>
      </c>
      <c r="N39" s="45">
        <f>MAX(0,I39-J39+L39-G39)</f>
        <v/>
      </c>
      <c r="O39" s="45">
        <f>K39*$C$8</f>
        <v/>
      </c>
      <c r="P39" s="47">
        <f>K39+O39+N39</f>
        <v/>
      </c>
      <c r="Q39" s="45">
        <f>IF(D39&gt;0,E39*(1-I39/D39),0)+N39</f>
        <v/>
      </c>
      <c r="R39" s="45">
        <f>MAX(0,G39-M39)</f>
        <v/>
      </c>
      <c r="S39" s="54">
        <f>IF(R39&gt;1,"고갈","정상")</f>
        <v/>
      </c>
      <c r="T39" s="45">
        <f>P39/(1+'대시보드_및_설정'!$C$16)^B39</f>
        <v/>
      </c>
    </row>
    <row r="40">
      <c r="A40" s="54" t="n">
        <v>28</v>
      </c>
      <c r="B40" s="54">
        <f>'대시보드_및_설정'!$C$14+A40</f>
        <v/>
      </c>
      <c r="C40" s="32">
        <f>'대시보드_및_설정'!$C$11+B40</f>
        <v/>
      </c>
      <c r="D40" s="45">
        <f>MAX(0,P39)</f>
        <v/>
      </c>
      <c r="E40" s="45">
        <f>Q39</f>
        <v/>
      </c>
      <c r="F40" s="48">
        <f>IF(D40&gt;0,MAX(0,1-E40/D40),0)</f>
        <v/>
      </c>
      <c r="G40" s="45">
        <f>'대시보드_및_설정'!$C$15*12*(1+'대시보드_및_설정'!$C$16)^(B40-1)</f>
        <v/>
      </c>
      <c r="H40" s="45">
        <f>(G40-D40*$C$10)/(1-$C$10)</f>
        <v/>
      </c>
      <c r="I40" s="45">
        <f>IF(D40&lt;=0,0,MIN(D40,MAX(0,IF(H40*F40&lt;='대시보드_및_설정'!$C$19,H40,(G40-D40*$C$10-'대시보드_및_설정'!$C$18*'대시보드_및_설정'!$C$19)/(1-'대시보드_및_설정'!$C$18*F40-$C$10)))))</f>
        <v/>
      </c>
      <c r="J40" s="45">
        <f>MAX(0,I40*F40-'대시보드_및_설정'!$C$19)*'대시보드_및_설정'!$C$18</f>
        <v/>
      </c>
      <c r="K40" s="45">
        <f>D40-I40</f>
        <v/>
      </c>
      <c r="L40" s="45">
        <f>K40*$C$10</f>
        <v/>
      </c>
      <c r="M40" s="45">
        <f>MIN(G40,I40-J40+L40)</f>
        <v/>
      </c>
      <c r="N40" s="45">
        <f>MAX(0,I40-J40+L40-G40)</f>
        <v/>
      </c>
      <c r="O40" s="45">
        <f>K40*$C$8</f>
        <v/>
      </c>
      <c r="P40" s="47">
        <f>K40+O40+N40</f>
        <v/>
      </c>
      <c r="Q40" s="45">
        <f>IF(D40&gt;0,E40*(1-I40/D40),0)+N40</f>
        <v/>
      </c>
      <c r="R40" s="45">
        <f>MAX(0,G40-M40)</f>
        <v/>
      </c>
      <c r="S40" s="54">
        <f>IF(R40&gt;1,"고갈","정상")</f>
        <v/>
      </c>
      <c r="T40" s="45">
        <f>P40/(1+'대시보드_및_설정'!$C$16)^B40</f>
        <v/>
      </c>
    </row>
    <row r="41">
      <c r="A41" s="54" t="n">
        <v>29</v>
      </c>
      <c r="B41" s="54">
        <f>'대시보드_및_설정'!$C$14+A41</f>
        <v/>
      </c>
      <c r="C41" s="32">
        <f>'대시보드_및_설정'!$C$11+B41</f>
        <v/>
      </c>
      <c r="D41" s="45">
        <f>MAX(0,P40)</f>
        <v/>
      </c>
      <c r="E41" s="45">
        <f>Q40</f>
        <v/>
      </c>
      <c r="F41" s="48">
        <f>IF(D41&gt;0,MAX(0,1-E41/D41),0)</f>
        <v/>
      </c>
      <c r="G41" s="45">
        <f>'대시보드_및_설정'!$C$15*12*(1+'대시보드_및_설정'!$C$16)^(B41-1)</f>
        <v/>
      </c>
      <c r="H41" s="45">
        <f>(G41-D41*$C$10)/(1-$C$10)</f>
        <v/>
      </c>
      <c r="I41" s="45">
        <f>IF(D41&lt;=0,0,MIN(D41,MAX(0,IF(H41*F41&lt;='대시보드_및_설정'!$C$19,H41,(G41-D41*$C$10-'대시보드_및_설정'!$C$18*'대시보드_및_설정'!$C$19)/(1-'대시보드_및_설정'!$C$18*F41-$C$10)))))</f>
        <v/>
      </c>
      <c r="J41" s="45">
        <f>MAX(0,I41*F41-'대시보드_및_설정'!$C$19)*'대시보드_및_설정'!$C$18</f>
        <v/>
      </c>
      <c r="K41" s="45">
        <f>D41-I41</f>
        <v/>
      </c>
      <c r="L41" s="45">
        <f>K41*$C$10</f>
        <v/>
      </c>
      <c r="M41" s="45">
        <f>MIN(G41,I41-J41+L41)</f>
        <v/>
      </c>
      <c r="N41" s="45">
        <f>MAX(0,I41-J41+L41-G41)</f>
        <v/>
      </c>
      <c r="O41" s="45">
        <f>K41*$C$8</f>
        <v/>
      </c>
      <c r="P41" s="47">
        <f>K41+O41+N41</f>
        <v/>
      </c>
      <c r="Q41" s="45">
        <f>IF(D41&gt;0,E41*(1-I41/D41),0)+N41</f>
        <v/>
      </c>
      <c r="R41" s="45">
        <f>MAX(0,G41-M41)</f>
        <v/>
      </c>
      <c r="S41" s="54">
        <f>IF(R41&gt;1,"고갈","정상")</f>
        <v/>
      </c>
      <c r="T41" s="45">
        <f>P41/(1+'대시보드_및_설정'!$C$16)^B41</f>
        <v/>
      </c>
    </row>
    <row r="42">
      <c r="A42" s="54" t="n">
        <v>30</v>
      </c>
      <c r="B42" s="54">
        <f>'대시보드_및_설정'!$C$14+A42</f>
        <v/>
      </c>
      <c r="C42" s="32">
        <f>'대시보드_및_설정'!$C$11+B42</f>
        <v/>
      </c>
      <c r="D42" s="45">
        <f>MAX(0,P41)</f>
        <v/>
      </c>
      <c r="E42" s="45">
        <f>Q41</f>
        <v/>
      </c>
      <c r="F42" s="48">
        <f>IF(D42&gt;0,MAX(0,1-E42/D42),0)</f>
        <v/>
      </c>
      <c r="G42" s="45">
        <f>'대시보드_및_설정'!$C$15*12*(1+'대시보드_및_설정'!$C$16)^(B42-1)</f>
        <v/>
      </c>
      <c r="H42" s="45">
        <f>(G42-D42*$C$10)/(1-$C$10)</f>
        <v/>
      </c>
      <c r="I42" s="45">
        <f>IF(D42&lt;=0,0,MIN(D42,MAX(0,IF(H42*F42&lt;='대시보드_및_설정'!$C$19,H42,(G42-D42*$C$10-'대시보드_및_설정'!$C$18*'대시보드_및_설정'!$C$19)/(1-'대시보드_및_설정'!$C$18*F42-$C$10)))))</f>
        <v/>
      </c>
      <c r="J42" s="45">
        <f>MAX(0,I42*F42-'대시보드_및_설정'!$C$19)*'대시보드_및_설정'!$C$18</f>
        <v/>
      </c>
      <c r="K42" s="45">
        <f>D42-I42</f>
        <v/>
      </c>
      <c r="L42" s="45">
        <f>K42*$C$10</f>
        <v/>
      </c>
      <c r="M42" s="45">
        <f>MIN(G42,I42-J42+L42)</f>
        <v/>
      </c>
      <c r="N42" s="45">
        <f>MAX(0,I42-J42+L42-G42)</f>
        <v/>
      </c>
      <c r="O42" s="45">
        <f>K42*$C$8</f>
        <v/>
      </c>
      <c r="P42" s="47">
        <f>K42+O42+N42</f>
        <v/>
      </c>
      <c r="Q42" s="45">
        <f>IF(D42&gt;0,E42*(1-I42/D42),0)+N42</f>
        <v/>
      </c>
      <c r="R42" s="45">
        <f>MAX(0,G42-M42)</f>
        <v/>
      </c>
      <c r="S42" s="54">
        <f>IF(R42&gt;1,"고갈","정상")</f>
        <v/>
      </c>
      <c r="T42" s="45">
        <f>P42/(1+'대시보드_및_설정'!$C$16)^B42</f>
        <v/>
      </c>
    </row>
    <row r="43">
      <c r="A43" s="54" t="n">
        <v>31</v>
      </c>
      <c r="B43" s="54">
        <f>'대시보드_및_설정'!$C$14+A43</f>
        <v/>
      </c>
      <c r="C43" s="32">
        <f>'대시보드_및_설정'!$C$11+B43</f>
        <v/>
      </c>
      <c r="D43" s="45">
        <f>MAX(0,P42)</f>
        <v/>
      </c>
      <c r="E43" s="45">
        <f>Q42</f>
        <v/>
      </c>
      <c r="F43" s="48">
        <f>IF(D43&gt;0,MAX(0,1-E43/D43),0)</f>
        <v/>
      </c>
      <c r="G43" s="45">
        <f>'대시보드_및_설정'!$C$15*12*(1+'대시보드_및_설정'!$C$16)^(B43-1)</f>
        <v/>
      </c>
      <c r="H43" s="45">
        <f>(G43-D43*$C$10)/(1-$C$10)</f>
        <v/>
      </c>
      <c r="I43" s="45">
        <f>IF(D43&lt;=0,0,MIN(D43,MAX(0,IF(H43*F43&lt;='대시보드_및_설정'!$C$19,H43,(G43-D43*$C$10-'대시보드_및_설정'!$C$18*'대시보드_및_설정'!$C$19)/(1-'대시보드_및_설정'!$C$18*F43-$C$10)))))</f>
        <v/>
      </c>
      <c r="J43" s="45">
        <f>MAX(0,I43*F43-'대시보드_및_설정'!$C$19)*'대시보드_및_설정'!$C$18</f>
        <v/>
      </c>
      <c r="K43" s="45">
        <f>D43-I43</f>
        <v/>
      </c>
      <c r="L43" s="45">
        <f>K43*$C$10</f>
        <v/>
      </c>
      <c r="M43" s="45">
        <f>MIN(G43,I43-J43+L43)</f>
        <v/>
      </c>
      <c r="N43" s="45">
        <f>MAX(0,I43-J43+L43-G43)</f>
        <v/>
      </c>
      <c r="O43" s="45">
        <f>K43*$C$8</f>
        <v/>
      </c>
      <c r="P43" s="47">
        <f>K43+O43+N43</f>
        <v/>
      </c>
      <c r="Q43" s="45">
        <f>IF(D43&gt;0,E43*(1-I43/D43),0)+N43</f>
        <v/>
      </c>
      <c r="R43" s="45">
        <f>MAX(0,G43-M43)</f>
        <v/>
      </c>
      <c r="S43" s="54">
        <f>IF(R43&gt;1,"고갈","정상")</f>
        <v/>
      </c>
      <c r="T43" s="45">
        <f>P43/(1+'대시보드_및_설정'!$C$16)^B43</f>
        <v/>
      </c>
    </row>
    <row r="44">
      <c r="A44" s="54" t="n">
        <v>32</v>
      </c>
      <c r="B44" s="54">
        <f>'대시보드_및_설정'!$C$14+A44</f>
        <v/>
      </c>
      <c r="C44" s="32">
        <f>'대시보드_및_설정'!$C$11+B44</f>
        <v/>
      </c>
      <c r="D44" s="45">
        <f>MAX(0,P43)</f>
        <v/>
      </c>
      <c r="E44" s="45">
        <f>Q43</f>
        <v/>
      </c>
      <c r="F44" s="48">
        <f>IF(D44&gt;0,MAX(0,1-E44/D44),0)</f>
        <v/>
      </c>
      <c r="G44" s="45">
        <f>'대시보드_및_설정'!$C$15*12*(1+'대시보드_및_설정'!$C$16)^(B44-1)</f>
        <v/>
      </c>
      <c r="H44" s="45">
        <f>(G44-D44*$C$10)/(1-$C$10)</f>
        <v/>
      </c>
      <c r="I44" s="45">
        <f>IF(D44&lt;=0,0,MIN(D44,MAX(0,IF(H44*F44&lt;='대시보드_및_설정'!$C$19,H44,(G44-D44*$C$10-'대시보드_및_설정'!$C$18*'대시보드_및_설정'!$C$19)/(1-'대시보드_및_설정'!$C$18*F44-$C$10)))))</f>
        <v/>
      </c>
      <c r="J44" s="45">
        <f>MAX(0,I44*F44-'대시보드_및_설정'!$C$19)*'대시보드_및_설정'!$C$18</f>
        <v/>
      </c>
      <c r="K44" s="45">
        <f>D44-I44</f>
        <v/>
      </c>
      <c r="L44" s="45">
        <f>K44*$C$10</f>
        <v/>
      </c>
      <c r="M44" s="45">
        <f>MIN(G44,I44-J44+L44)</f>
        <v/>
      </c>
      <c r="N44" s="45">
        <f>MAX(0,I44-J44+L44-G44)</f>
        <v/>
      </c>
      <c r="O44" s="45">
        <f>K44*$C$8</f>
        <v/>
      </c>
      <c r="P44" s="47">
        <f>K44+O44+N44</f>
        <v/>
      </c>
      <c r="Q44" s="45">
        <f>IF(D44&gt;0,E44*(1-I44/D44),0)+N44</f>
        <v/>
      </c>
      <c r="R44" s="45">
        <f>MAX(0,G44-M44)</f>
        <v/>
      </c>
      <c r="S44" s="54">
        <f>IF(R44&gt;1,"고갈","정상")</f>
        <v/>
      </c>
      <c r="T44" s="45">
        <f>P44/(1+'대시보드_및_설정'!$C$16)^B44</f>
        <v/>
      </c>
    </row>
    <row r="45">
      <c r="A45" s="54" t="n">
        <v>33</v>
      </c>
      <c r="B45" s="54">
        <f>'대시보드_및_설정'!$C$14+A45</f>
        <v/>
      </c>
      <c r="C45" s="32">
        <f>'대시보드_및_설정'!$C$11+B45</f>
        <v/>
      </c>
      <c r="D45" s="45">
        <f>MAX(0,P44)</f>
        <v/>
      </c>
      <c r="E45" s="45">
        <f>Q44</f>
        <v/>
      </c>
      <c r="F45" s="48">
        <f>IF(D45&gt;0,MAX(0,1-E45/D45),0)</f>
        <v/>
      </c>
      <c r="G45" s="45">
        <f>'대시보드_및_설정'!$C$15*12*(1+'대시보드_및_설정'!$C$16)^(B45-1)</f>
        <v/>
      </c>
      <c r="H45" s="45">
        <f>(G45-D45*$C$10)/(1-$C$10)</f>
        <v/>
      </c>
      <c r="I45" s="45">
        <f>IF(D45&lt;=0,0,MIN(D45,MAX(0,IF(H45*F45&lt;='대시보드_및_설정'!$C$19,H45,(G45-D45*$C$10-'대시보드_및_설정'!$C$18*'대시보드_및_설정'!$C$19)/(1-'대시보드_및_설정'!$C$18*F45-$C$10)))))</f>
        <v/>
      </c>
      <c r="J45" s="45">
        <f>MAX(0,I45*F45-'대시보드_및_설정'!$C$19)*'대시보드_및_설정'!$C$18</f>
        <v/>
      </c>
      <c r="K45" s="45">
        <f>D45-I45</f>
        <v/>
      </c>
      <c r="L45" s="45">
        <f>K45*$C$10</f>
        <v/>
      </c>
      <c r="M45" s="45">
        <f>MIN(G45,I45-J45+L45)</f>
        <v/>
      </c>
      <c r="N45" s="45">
        <f>MAX(0,I45-J45+L45-G45)</f>
        <v/>
      </c>
      <c r="O45" s="45">
        <f>K45*$C$8</f>
        <v/>
      </c>
      <c r="P45" s="47">
        <f>K45+O45+N45</f>
        <v/>
      </c>
      <c r="Q45" s="45">
        <f>IF(D45&gt;0,E45*(1-I45/D45),0)+N45</f>
        <v/>
      </c>
      <c r="R45" s="45">
        <f>MAX(0,G45-M45)</f>
        <v/>
      </c>
      <c r="S45" s="54">
        <f>IF(R45&gt;1,"고갈","정상")</f>
        <v/>
      </c>
      <c r="T45" s="45">
        <f>P45/(1+'대시보드_및_설정'!$C$16)^B45</f>
        <v/>
      </c>
    </row>
    <row r="46">
      <c r="A46" s="54" t="n">
        <v>34</v>
      </c>
      <c r="B46" s="54">
        <f>'대시보드_및_설정'!$C$14+A46</f>
        <v/>
      </c>
      <c r="C46" s="32">
        <f>'대시보드_및_설정'!$C$11+B46</f>
        <v/>
      </c>
      <c r="D46" s="45">
        <f>MAX(0,P45)</f>
        <v/>
      </c>
      <c r="E46" s="45">
        <f>Q45</f>
        <v/>
      </c>
      <c r="F46" s="48">
        <f>IF(D46&gt;0,MAX(0,1-E46/D46),0)</f>
        <v/>
      </c>
      <c r="G46" s="45">
        <f>'대시보드_및_설정'!$C$15*12*(1+'대시보드_및_설정'!$C$16)^(B46-1)</f>
        <v/>
      </c>
      <c r="H46" s="45">
        <f>(G46-D46*$C$10)/(1-$C$10)</f>
        <v/>
      </c>
      <c r="I46" s="45">
        <f>IF(D46&lt;=0,0,MIN(D46,MAX(0,IF(H46*F46&lt;='대시보드_및_설정'!$C$19,H46,(G46-D46*$C$10-'대시보드_및_설정'!$C$18*'대시보드_및_설정'!$C$19)/(1-'대시보드_및_설정'!$C$18*F46-$C$10)))))</f>
        <v/>
      </c>
      <c r="J46" s="45">
        <f>MAX(0,I46*F46-'대시보드_및_설정'!$C$19)*'대시보드_및_설정'!$C$18</f>
        <v/>
      </c>
      <c r="K46" s="45">
        <f>D46-I46</f>
        <v/>
      </c>
      <c r="L46" s="45">
        <f>K46*$C$10</f>
        <v/>
      </c>
      <c r="M46" s="45">
        <f>MIN(G46,I46-J46+L46)</f>
        <v/>
      </c>
      <c r="N46" s="45">
        <f>MAX(0,I46-J46+L46-G46)</f>
        <v/>
      </c>
      <c r="O46" s="45">
        <f>K46*$C$8</f>
        <v/>
      </c>
      <c r="P46" s="47">
        <f>K46+O46+N46</f>
        <v/>
      </c>
      <c r="Q46" s="45">
        <f>IF(D46&gt;0,E46*(1-I46/D46),0)+N46</f>
        <v/>
      </c>
      <c r="R46" s="45">
        <f>MAX(0,G46-M46)</f>
        <v/>
      </c>
      <c r="S46" s="54">
        <f>IF(R46&gt;1,"고갈","정상")</f>
        <v/>
      </c>
      <c r="T46" s="45">
        <f>P46/(1+'대시보드_및_설정'!$C$16)^B46</f>
        <v/>
      </c>
    </row>
    <row r="47">
      <c r="A47" s="54" t="n">
        <v>35</v>
      </c>
      <c r="B47" s="54">
        <f>'대시보드_및_설정'!$C$14+A47</f>
        <v/>
      </c>
      <c r="C47" s="32">
        <f>'대시보드_및_설정'!$C$11+B47</f>
        <v/>
      </c>
      <c r="D47" s="45">
        <f>MAX(0,P46)</f>
        <v/>
      </c>
      <c r="E47" s="45">
        <f>Q46</f>
        <v/>
      </c>
      <c r="F47" s="48">
        <f>IF(D47&gt;0,MAX(0,1-E47/D47),0)</f>
        <v/>
      </c>
      <c r="G47" s="45">
        <f>'대시보드_및_설정'!$C$15*12*(1+'대시보드_및_설정'!$C$16)^(B47-1)</f>
        <v/>
      </c>
      <c r="H47" s="45">
        <f>(G47-D47*$C$10)/(1-$C$10)</f>
        <v/>
      </c>
      <c r="I47" s="45">
        <f>IF(D47&lt;=0,0,MIN(D47,MAX(0,IF(H47*F47&lt;='대시보드_및_설정'!$C$19,H47,(G47-D47*$C$10-'대시보드_및_설정'!$C$18*'대시보드_및_설정'!$C$19)/(1-'대시보드_및_설정'!$C$18*F47-$C$10)))))</f>
        <v/>
      </c>
      <c r="J47" s="45">
        <f>MAX(0,I47*F47-'대시보드_및_설정'!$C$19)*'대시보드_및_설정'!$C$18</f>
        <v/>
      </c>
      <c r="K47" s="45">
        <f>D47-I47</f>
        <v/>
      </c>
      <c r="L47" s="45">
        <f>K47*$C$10</f>
        <v/>
      </c>
      <c r="M47" s="45">
        <f>MIN(G47,I47-J47+L47)</f>
        <v/>
      </c>
      <c r="N47" s="45">
        <f>MAX(0,I47-J47+L47-G47)</f>
        <v/>
      </c>
      <c r="O47" s="45">
        <f>K47*$C$8</f>
        <v/>
      </c>
      <c r="P47" s="47">
        <f>K47+O47+N47</f>
        <v/>
      </c>
      <c r="Q47" s="45">
        <f>IF(D47&gt;0,E47*(1-I47/D47),0)+N47</f>
        <v/>
      </c>
      <c r="R47" s="45">
        <f>MAX(0,G47-M47)</f>
        <v/>
      </c>
      <c r="S47" s="54">
        <f>IF(R47&gt;1,"고갈","정상")</f>
        <v/>
      </c>
      <c r="T47" s="45">
        <f>P47/(1+'대시보드_및_설정'!$C$16)^B47</f>
        <v/>
      </c>
    </row>
    <row r="48">
      <c r="A48" s="54" t="n">
        <v>36</v>
      </c>
      <c r="B48" s="54">
        <f>'대시보드_및_설정'!$C$14+A48</f>
        <v/>
      </c>
      <c r="C48" s="32">
        <f>'대시보드_및_설정'!$C$11+B48</f>
        <v/>
      </c>
      <c r="D48" s="45">
        <f>MAX(0,P47)</f>
        <v/>
      </c>
      <c r="E48" s="45">
        <f>Q47</f>
        <v/>
      </c>
      <c r="F48" s="48">
        <f>IF(D48&gt;0,MAX(0,1-E48/D48),0)</f>
        <v/>
      </c>
      <c r="G48" s="45">
        <f>'대시보드_및_설정'!$C$15*12*(1+'대시보드_및_설정'!$C$16)^(B48-1)</f>
        <v/>
      </c>
      <c r="H48" s="45">
        <f>(G48-D48*$C$10)/(1-$C$10)</f>
        <v/>
      </c>
      <c r="I48" s="45">
        <f>IF(D48&lt;=0,0,MIN(D48,MAX(0,IF(H48*F48&lt;='대시보드_및_설정'!$C$19,H48,(G48-D48*$C$10-'대시보드_및_설정'!$C$18*'대시보드_및_설정'!$C$19)/(1-'대시보드_및_설정'!$C$18*F48-$C$10)))))</f>
        <v/>
      </c>
      <c r="J48" s="45">
        <f>MAX(0,I48*F48-'대시보드_및_설정'!$C$19)*'대시보드_및_설정'!$C$18</f>
        <v/>
      </c>
      <c r="K48" s="45">
        <f>D48-I48</f>
        <v/>
      </c>
      <c r="L48" s="45">
        <f>K48*$C$10</f>
        <v/>
      </c>
      <c r="M48" s="45">
        <f>MIN(G48,I48-J48+L48)</f>
        <v/>
      </c>
      <c r="N48" s="45">
        <f>MAX(0,I48-J48+L48-G48)</f>
        <v/>
      </c>
      <c r="O48" s="45">
        <f>K48*$C$8</f>
        <v/>
      </c>
      <c r="P48" s="47">
        <f>K48+O48+N48</f>
        <v/>
      </c>
      <c r="Q48" s="45">
        <f>IF(D48&gt;0,E48*(1-I48/D48),0)+N48</f>
        <v/>
      </c>
      <c r="R48" s="45">
        <f>MAX(0,G48-M48)</f>
        <v/>
      </c>
      <c r="S48" s="54">
        <f>IF(R48&gt;1,"고갈","정상")</f>
        <v/>
      </c>
      <c r="T48" s="45">
        <f>P48/(1+'대시보드_및_설정'!$C$16)^B48</f>
        <v/>
      </c>
    </row>
    <row r="49">
      <c r="A49" s="54" t="n">
        <v>37</v>
      </c>
      <c r="B49" s="54">
        <f>'대시보드_및_설정'!$C$14+A49</f>
        <v/>
      </c>
      <c r="C49" s="32">
        <f>'대시보드_및_설정'!$C$11+B49</f>
        <v/>
      </c>
      <c r="D49" s="45">
        <f>MAX(0,P48)</f>
        <v/>
      </c>
      <c r="E49" s="45">
        <f>Q48</f>
        <v/>
      </c>
      <c r="F49" s="48">
        <f>IF(D49&gt;0,MAX(0,1-E49/D49),0)</f>
        <v/>
      </c>
      <c r="G49" s="45">
        <f>'대시보드_및_설정'!$C$15*12*(1+'대시보드_및_설정'!$C$16)^(B49-1)</f>
        <v/>
      </c>
      <c r="H49" s="45">
        <f>(G49-D49*$C$10)/(1-$C$10)</f>
        <v/>
      </c>
      <c r="I49" s="45">
        <f>IF(D49&lt;=0,0,MIN(D49,MAX(0,IF(H49*F49&lt;='대시보드_및_설정'!$C$19,H49,(G49-D49*$C$10-'대시보드_및_설정'!$C$18*'대시보드_및_설정'!$C$19)/(1-'대시보드_및_설정'!$C$18*F49-$C$10)))))</f>
        <v/>
      </c>
      <c r="J49" s="45">
        <f>MAX(0,I49*F49-'대시보드_및_설정'!$C$19)*'대시보드_및_설정'!$C$18</f>
        <v/>
      </c>
      <c r="K49" s="45">
        <f>D49-I49</f>
        <v/>
      </c>
      <c r="L49" s="45">
        <f>K49*$C$10</f>
        <v/>
      </c>
      <c r="M49" s="45">
        <f>MIN(G49,I49-J49+L49)</f>
        <v/>
      </c>
      <c r="N49" s="45">
        <f>MAX(0,I49-J49+L49-G49)</f>
        <v/>
      </c>
      <c r="O49" s="45">
        <f>K49*$C$8</f>
        <v/>
      </c>
      <c r="P49" s="47">
        <f>K49+O49+N49</f>
        <v/>
      </c>
      <c r="Q49" s="45">
        <f>IF(D49&gt;0,E49*(1-I49/D49),0)+N49</f>
        <v/>
      </c>
      <c r="R49" s="45">
        <f>MAX(0,G49-M49)</f>
        <v/>
      </c>
      <c r="S49" s="54">
        <f>IF(R49&gt;1,"고갈","정상")</f>
        <v/>
      </c>
      <c r="T49" s="45">
        <f>P49/(1+'대시보드_및_설정'!$C$16)^B49</f>
        <v/>
      </c>
    </row>
    <row r="50">
      <c r="A50" s="54" t="n">
        <v>38</v>
      </c>
      <c r="B50" s="54">
        <f>'대시보드_및_설정'!$C$14+A50</f>
        <v/>
      </c>
      <c r="C50" s="32">
        <f>'대시보드_및_설정'!$C$11+B50</f>
        <v/>
      </c>
      <c r="D50" s="45">
        <f>MAX(0,P49)</f>
        <v/>
      </c>
      <c r="E50" s="45">
        <f>Q49</f>
        <v/>
      </c>
      <c r="F50" s="48">
        <f>IF(D50&gt;0,MAX(0,1-E50/D50),0)</f>
        <v/>
      </c>
      <c r="G50" s="45">
        <f>'대시보드_및_설정'!$C$15*12*(1+'대시보드_및_설정'!$C$16)^(B50-1)</f>
        <v/>
      </c>
      <c r="H50" s="45">
        <f>(G50-D50*$C$10)/(1-$C$10)</f>
        <v/>
      </c>
      <c r="I50" s="45">
        <f>IF(D50&lt;=0,0,MIN(D50,MAX(0,IF(H50*F50&lt;='대시보드_및_설정'!$C$19,H50,(G50-D50*$C$10-'대시보드_및_설정'!$C$18*'대시보드_및_설정'!$C$19)/(1-'대시보드_및_설정'!$C$18*F50-$C$10)))))</f>
        <v/>
      </c>
      <c r="J50" s="45">
        <f>MAX(0,I50*F50-'대시보드_및_설정'!$C$19)*'대시보드_및_설정'!$C$18</f>
        <v/>
      </c>
      <c r="K50" s="45">
        <f>D50-I50</f>
        <v/>
      </c>
      <c r="L50" s="45">
        <f>K50*$C$10</f>
        <v/>
      </c>
      <c r="M50" s="45">
        <f>MIN(G50,I50-J50+L50)</f>
        <v/>
      </c>
      <c r="N50" s="45">
        <f>MAX(0,I50-J50+L50-G50)</f>
        <v/>
      </c>
      <c r="O50" s="45">
        <f>K50*$C$8</f>
        <v/>
      </c>
      <c r="P50" s="47">
        <f>K50+O50+N50</f>
        <v/>
      </c>
      <c r="Q50" s="45">
        <f>IF(D50&gt;0,E50*(1-I50/D50),0)+N50</f>
        <v/>
      </c>
      <c r="R50" s="45">
        <f>MAX(0,G50-M50)</f>
        <v/>
      </c>
      <c r="S50" s="54">
        <f>IF(R50&gt;1,"고갈","정상")</f>
        <v/>
      </c>
      <c r="T50" s="45">
        <f>P50/(1+'대시보드_및_설정'!$C$16)^B50</f>
        <v/>
      </c>
    </row>
    <row r="51">
      <c r="A51" s="54" t="n">
        <v>39</v>
      </c>
      <c r="B51" s="54">
        <f>'대시보드_및_설정'!$C$14+A51</f>
        <v/>
      </c>
      <c r="C51" s="32">
        <f>'대시보드_및_설정'!$C$11+B51</f>
        <v/>
      </c>
      <c r="D51" s="45">
        <f>MAX(0,P50)</f>
        <v/>
      </c>
      <c r="E51" s="45">
        <f>Q50</f>
        <v/>
      </c>
      <c r="F51" s="48">
        <f>IF(D51&gt;0,MAX(0,1-E51/D51),0)</f>
        <v/>
      </c>
      <c r="G51" s="45">
        <f>'대시보드_및_설정'!$C$15*12*(1+'대시보드_및_설정'!$C$16)^(B51-1)</f>
        <v/>
      </c>
      <c r="H51" s="45">
        <f>(G51-D51*$C$10)/(1-$C$10)</f>
        <v/>
      </c>
      <c r="I51" s="45">
        <f>IF(D51&lt;=0,0,MIN(D51,MAX(0,IF(H51*F51&lt;='대시보드_및_설정'!$C$19,H51,(G51-D51*$C$10-'대시보드_및_설정'!$C$18*'대시보드_및_설정'!$C$19)/(1-'대시보드_및_설정'!$C$18*F51-$C$10)))))</f>
        <v/>
      </c>
      <c r="J51" s="45">
        <f>MAX(0,I51*F51-'대시보드_및_설정'!$C$19)*'대시보드_및_설정'!$C$18</f>
        <v/>
      </c>
      <c r="K51" s="45">
        <f>D51-I51</f>
        <v/>
      </c>
      <c r="L51" s="45">
        <f>K51*$C$10</f>
        <v/>
      </c>
      <c r="M51" s="45">
        <f>MIN(G51,I51-J51+L51)</f>
        <v/>
      </c>
      <c r="N51" s="45">
        <f>MAX(0,I51-J51+L51-G51)</f>
        <v/>
      </c>
      <c r="O51" s="45">
        <f>K51*$C$8</f>
        <v/>
      </c>
      <c r="P51" s="47">
        <f>K51+O51+N51</f>
        <v/>
      </c>
      <c r="Q51" s="45">
        <f>IF(D51&gt;0,E51*(1-I51/D51),0)+N51</f>
        <v/>
      </c>
      <c r="R51" s="45">
        <f>MAX(0,G51-M51)</f>
        <v/>
      </c>
      <c r="S51" s="54">
        <f>IF(R51&gt;1,"고갈","정상")</f>
        <v/>
      </c>
      <c r="T51" s="45">
        <f>P51/(1+'대시보드_및_설정'!$C$16)^B51</f>
        <v/>
      </c>
    </row>
    <row r="52">
      <c r="A52" s="54" t="n">
        <v>40</v>
      </c>
      <c r="B52" s="54">
        <f>'대시보드_및_설정'!$C$14+A52</f>
        <v/>
      </c>
      <c r="C52" s="32">
        <f>'대시보드_및_설정'!$C$11+B52</f>
        <v/>
      </c>
      <c r="D52" s="45">
        <f>MAX(0,P51)</f>
        <v/>
      </c>
      <c r="E52" s="45">
        <f>Q51</f>
        <v/>
      </c>
      <c r="F52" s="48">
        <f>IF(D52&gt;0,MAX(0,1-E52/D52),0)</f>
        <v/>
      </c>
      <c r="G52" s="45">
        <f>'대시보드_및_설정'!$C$15*12*(1+'대시보드_및_설정'!$C$16)^(B52-1)</f>
        <v/>
      </c>
      <c r="H52" s="45">
        <f>(G52-D52*$C$10)/(1-$C$10)</f>
        <v/>
      </c>
      <c r="I52" s="45">
        <f>IF(D52&lt;=0,0,MIN(D52,MAX(0,IF(H52*F52&lt;='대시보드_및_설정'!$C$19,H52,(G52-D52*$C$10-'대시보드_및_설정'!$C$18*'대시보드_및_설정'!$C$19)/(1-'대시보드_및_설정'!$C$18*F52-$C$10)))))</f>
        <v/>
      </c>
      <c r="J52" s="45">
        <f>MAX(0,I52*F52-'대시보드_및_설정'!$C$19)*'대시보드_및_설정'!$C$18</f>
        <v/>
      </c>
      <c r="K52" s="45">
        <f>D52-I52</f>
        <v/>
      </c>
      <c r="L52" s="45">
        <f>K52*$C$10</f>
        <v/>
      </c>
      <c r="M52" s="45">
        <f>MIN(G52,I52-J52+L52)</f>
        <v/>
      </c>
      <c r="N52" s="45">
        <f>MAX(0,I52-J52+L52-G52)</f>
        <v/>
      </c>
      <c r="O52" s="45">
        <f>K52*$C$8</f>
        <v/>
      </c>
      <c r="P52" s="47">
        <f>K52+O52+N52</f>
        <v/>
      </c>
      <c r="Q52" s="45">
        <f>IF(D52&gt;0,E52*(1-I52/D52),0)+N52</f>
        <v/>
      </c>
      <c r="R52" s="45">
        <f>MAX(0,G52-M52)</f>
        <v/>
      </c>
      <c r="S52" s="54">
        <f>IF(R52&gt;1,"고갈","정상")</f>
        <v/>
      </c>
      <c r="T52" s="45">
        <f>P52/(1+'대시보드_및_설정'!$C$16)^B52</f>
        <v/>
      </c>
    </row>
    <row r="53">
      <c r="A53" s="54" t="n">
        <v>41</v>
      </c>
      <c r="B53" s="54">
        <f>'대시보드_및_설정'!$C$14+A53</f>
        <v/>
      </c>
      <c r="C53" s="32">
        <f>'대시보드_및_설정'!$C$11+B53</f>
        <v/>
      </c>
      <c r="D53" s="45">
        <f>MAX(0,P52)</f>
        <v/>
      </c>
      <c r="E53" s="45">
        <f>Q52</f>
        <v/>
      </c>
      <c r="F53" s="48">
        <f>IF(D53&gt;0,MAX(0,1-E53/D53),0)</f>
        <v/>
      </c>
      <c r="G53" s="45">
        <f>'대시보드_및_설정'!$C$15*12*(1+'대시보드_및_설정'!$C$16)^(B53-1)</f>
        <v/>
      </c>
      <c r="H53" s="45">
        <f>(G53-D53*$C$10)/(1-$C$10)</f>
        <v/>
      </c>
      <c r="I53" s="45">
        <f>IF(D53&lt;=0,0,MIN(D53,MAX(0,IF(H53*F53&lt;='대시보드_및_설정'!$C$19,H53,(G53-D53*$C$10-'대시보드_및_설정'!$C$18*'대시보드_및_설정'!$C$19)/(1-'대시보드_및_설정'!$C$18*F53-$C$10)))))</f>
        <v/>
      </c>
      <c r="J53" s="45">
        <f>MAX(0,I53*F53-'대시보드_및_설정'!$C$19)*'대시보드_및_설정'!$C$18</f>
        <v/>
      </c>
      <c r="K53" s="45">
        <f>D53-I53</f>
        <v/>
      </c>
      <c r="L53" s="45">
        <f>K53*$C$10</f>
        <v/>
      </c>
      <c r="M53" s="45">
        <f>MIN(G53,I53-J53+L53)</f>
        <v/>
      </c>
      <c r="N53" s="45">
        <f>MAX(0,I53-J53+L53-G53)</f>
        <v/>
      </c>
      <c r="O53" s="45">
        <f>K53*$C$8</f>
        <v/>
      </c>
      <c r="P53" s="47">
        <f>K53+O53+N53</f>
        <v/>
      </c>
      <c r="Q53" s="45">
        <f>IF(D53&gt;0,E53*(1-I53/D53),0)+N53</f>
        <v/>
      </c>
      <c r="R53" s="45">
        <f>MAX(0,G53-M53)</f>
        <v/>
      </c>
      <c r="S53" s="54">
        <f>IF(R53&gt;1,"고갈","정상")</f>
        <v/>
      </c>
      <c r="T53" s="45">
        <f>P53/(1+'대시보드_및_설정'!$C$16)^B53</f>
        <v/>
      </c>
    </row>
    <row r="54">
      <c r="A54" s="54" t="n">
        <v>42</v>
      </c>
      <c r="B54" s="54">
        <f>'대시보드_및_설정'!$C$14+A54</f>
        <v/>
      </c>
      <c r="C54" s="32">
        <f>'대시보드_및_설정'!$C$11+B54</f>
        <v/>
      </c>
      <c r="D54" s="45">
        <f>MAX(0,P53)</f>
        <v/>
      </c>
      <c r="E54" s="45">
        <f>Q53</f>
        <v/>
      </c>
      <c r="F54" s="48">
        <f>IF(D54&gt;0,MAX(0,1-E54/D54),0)</f>
        <v/>
      </c>
      <c r="G54" s="45">
        <f>'대시보드_및_설정'!$C$15*12*(1+'대시보드_및_설정'!$C$16)^(B54-1)</f>
        <v/>
      </c>
      <c r="H54" s="45">
        <f>(G54-D54*$C$10)/(1-$C$10)</f>
        <v/>
      </c>
      <c r="I54" s="45">
        <f>IF(D54&lt;=0,0,MIN(D54,MAX(0,IF(H54*F54&lt;='대시보드_및_설정'!$C$19,H54,(G54-D54*$C$10-'대시보드_및_설정'!$C$18*'대시보드_및_설정'!$C$19)/(1-'대시보드_및_설정'!$C$18*F54-$C$10)))))</f>
        <v/>
      </c>
      <c r="J54" s="45">
        <f>MAX(0,I54*F54-'대시보드_및_설정'!$C$19)*'대시보드_및_설정'!$C$18</f>
        <v/>
      </c>
      <c r="K54" s="45">
        <f>D54-I54</f>
        <v/>
      </c>
      <c r="L54" s="45">
        <f>K54*$C$10</f>
        <v/>
      </c>
      <c r="M54" s="45">
        <f>MIN(G54,I54-J54+L54)</f>
        <v/>
      </c>
      <c r="N54" s="45">
        <f>MAX(0,I54-J54+L54-G54)</f>
        <v/>
      </c>
      <c r="O54" s="45">
        <f>K54*$C$8</f>
        <v/>
      </c>
      <c r="P54" s="47">
        <f>K54+O54+N54</f>
        <v/>
      </c>
      <c r="Q54" s="45">
        <f>IF(D54&gt;0,E54*(1-I54/D54),0)+N54</f>
        <v/>
      </c>
      <c r="R54" s="45">
        <f>MAX(0,G54-M54)</f>
        <v/>
      </c>
      <c r="S54" s="54">
        <f>IF(R54&gt;1,"고갈","정상")</f>
        <v/>
      </c>
      <c r="T54" s="45">
        <f>P54/(1+'대시보드_및_설정'!$C$16)^B54</f>
        <v/>
      </c>
    </row>
    <row r="55">
      <c r="A55" s="54" t="n">
        <v>43</v>
      </c>
      <c r="B55" s="54">
        <f>'대시보드_및_설정'!$C$14+A55</f>
        <v/>
      </c>
      <c r="C55" s="32">
        <f>'대시보드_및_설정'!$C$11+B55</f>
        <v/>
      </c>
      <c r="D55" s="45">
        <f>MAX(0,P54)</f>
        <v/>
      </c>
      <c r="E55" s="45">
        <f>Q54</f>
        <v/>
      </c>
      <c r="F55" s="48">
        <f>IF(D55&gt;0,MAX(0,1-E55/D55),0)</f>
        <v/>
      </c>
      <c r="G55" s="45">
        <f>'대시보드_및_설정'!$C$15*12*(1+'대시보드_및_설정'!$C$16)^(B55-1)</f>
        <v/>
      </c>
      <c r="H55" s="45">
        <f>(G55-D55*$C$10)/(1-$C$10)</f>
        <v/>
      </c>
      <c r="I55" s="45">
        <f>IF(D55&lt;=0,0,MIN(D55,MAX(0,IF(H55*F55&lt;='대시보드_및_설정'!$C$19,H55,(G55-D55*$C$10-'대시보드_및_설정'!$C$18*'대시보드_및_설정'!$C$19)/(1-'대시보드_및_설정'!$C$18*F55-$C$10)))))</f>
        <v/>
      </c>
      <c r="J55" s="45">
        <f>MAX(0,I55*F55-'대시보드_및_설정'!$C$19)*'대시보드_및_설정'!$C$18</f>
        <v/>
      </c>
      <c r="K55" s="45">
        <f>D55-I55</f>
        <v/>
      </c>
      <c r="L55" s="45">
        <f>K55*$C$10</f>
        <v/>
      </c>
      <c r="M55" s="45">
        <f>MIN(G55,I55-J55+L55)</f>
        <v/>
      </c>
      <c r="N55" s="45">
        <f>MAX(0,I55-J55+L55-G55)</f>
        <v/>
      </c>
      <c r="O55" s="45">
        <f>K55*$C$8</f>
        <v/>
      </c>
      <c r="P55" s="47">
        <f>K55+O55+N55</f>
        <v/>
      </c>
      <c r="Q55" s="45">
        <f>IF(D55&gt;0,E55*(1-I55/D55),0)+N55</f>
        <v/>
      </c>
      <c r="R55" s="45">
        <f>MAX(0,G55-M55)</f>
        <v/>
      </c>
      <c r="S55" s="54">
        <f>IF(R55&gt;1,"고갈","정상")</f>
        <v/>
      </c>
      <c r="T55" s="45">
        <f>P55/(1+'대시보드_및_설정'!$C$16)^B55</f>
        <v/>
      </c>
    </row>
    <row r="56">
      <c r="A56" s="54" t="n">
        <v>44</v>
      </c>
      <c r="B56" s="54">
        <f>'대시보드_및_설정'!$C$14+A56</f>
        <v/>
      </c>
      <c r="C56" s="32">
        <f>'대시보드_및_설정'!$C$11+B56</f>
        <v/>
      </c>
      <c r="D56" s="45">
        <f>MAX(0,P55)</f>
        <v/>
      </c>
      <c r="E56" s="45">
        <f>Q55</f>
        <v/>
      </c>
      <c r="F56" s="48">
        <f>IF(D56&gt;0,MAX(0,1-E56/D56),0)</f>
        <v/>
      </c>
      <c r="G56" s="45">
        <f>'대시보드_및_설정'!$C$15*12*(1+'대시보드_및_설정'!$C$16)^(B56-1)</f>
        <v/>
      </c>
      <c r="H56" s="45">
        <f>(G56-D56*$C$10)/(1-$C$10)</f>
        <v/>
      </c>
      <c r="I56" s="45">
        <f>IF(D56&lt;=0,0,MIN(D56,MAX(0,IF(H56*F56&lt;='대시보드_및_설정'!$C$19,H56,(G56-D56*$C$10-'대시보드_및_설정'!$C$18*'대시보드_및_설정'!$C$19)/(1-'대시보드_및_설정'!$C$18*F56-$C$10)))))</f>
        <v/>
      </c>
      <c r="J56" s="45">
        <f>MAX(0,I56*F56-'대시보드_및_설정'!$C$19)*'대시보드_및_설정'!$C$18</f>
        <v/>
      </c>
      <c r="K56" s="45">
        <f>D56-I56</f>
        <v/>
      </c>
      <c r="L56" s="45">
        <f>K56*$C$10</f>
        <v/>
      </c>
      <c r="M56" s="45">
        <f>MIN(G56,I56-J56+L56)</f>
        <v/>
      </c>
      <c r="N56" s="45">
        <f>MAX(0,I56-J56+L56-G56)</f>
        <v/>
      </c>
      <c r="O56" s="45">
        <f>K56*$C$8</f>
        <v/>
      </c>
      <c r="P56" s="47">
        <f>K56+O56+N56</f>
        <v/>
      </c>
      <c r="Q56" s="45">
        <f>IF(D56&gt;0,E56*(1-I56/D56),0)+N56</f>
        <v/>
      </c>
      <c r="R56" s="45">
        <f>MAX(0,G56-M56)</f>
        <v/>
      </c>
      <c r="S56" s="54">
        <f>IF(R56&gt;1,"고갈","정상")</f>
        <v/>
      </c>
      <c r="T56" s="45">
        <f>P56/(1+'대시보드_및_설정'!$C$16)^B56</f>
        <v/>
      </c>
    </row>
    <row r="57">
      <c r="A57" s="54" t="n">
        <v>45</v>
      </c>
      <c r="B57" s="54">
        <f>'대시보드_및_설정'!$C$14+A57</f>
        <v/>
      </c>
      <c r="C57" s="32">
        <f>'대시보드_및_설정'!$C$11+B57</f>
        <v/>
      </c>
      <c r="D57" s="45">
        <f>MAX(0,P56)</f>
        <v/>
      </c>
      <c r="E57" s="45">
        <f>Q56</f>
        <v/>
      </c>
      <c r="F57" s="48">
        <f>IF(D57&gt;0,MAX(0,1-E57/D57),0)</f>
        <v/>
      </c>
      <c r="G57" s="45">
        <f>'대시보드_및_설정'!$C$15*12*(1+'대시보드_및_설정'!$C$16)^(B57-1)</f>
        <v/>
      </c>
      <c r="H57" s="45">
        <f>(G57-D57*$C$10)/(1-$C$10)</f>
        <v/>
      </c>
      <c r="I57" s="45">
        <f>IF(D57&lt;=0,0,MIN(D57,MAX(0,IF(H57*F57&lt;='대시보드_및_설정'!$C$19,H57,(G57-D57*$C$10-'대시보드_및_설정'!$C$18*'대시보드_및_설정'!$C$19)/(1-'대시보드_및_설정'!$C$18*F57-$C$10)))))</f>
        <v/>
      </c>
      <c r="J57" s="45">
        <f>MAX(0,I57*F57-'대시보드_및_설정'!$C$19)*'대시보드_및_설정'!$C$18</f>
        <v/>
      </c>
      <c r="K57" s="45">
        <f>D57-I57</f>
        <v/>
      </c>
      <c r="L57" s="45">
        <f>K57*$C$10</f>
        <v/>
      </c>
      <c r="M57" s="45">
        <f>MIN(G57,I57-J57+L57)</f>
        <v/>
      </c>
      <c r="N57" s="45">
        <f>MAX(0,I57-J57+L57-G57)</f>
        <v/>
      </c>
      <c r="O57" s="45">
        <f>K57*$C$8</f>
        <v/>
      </c>
      <c r="P57" s="47">
        <f>K57+O57+N57</f>
        <v/>
      </c>
      <c r="Q57" s="45">
        <f>IF(D57&gt;0,E57*(1-I57/D57),0)+N57</f>
        <v/>
      </c>
      <c r="R57" s="45">
        <f>MAX(0,G57-M57)</f>
        <v/>
      </c>
      <c r="S57" s="54">
        <f>IF(R57&gt;1,"고갈","정상")</f>
        <v/>
      </c>
      <c r="T57" s="45">
        <f>P57/(1+'대시보드_및_설정'!$C$16)^B57</f>
        <v/>
      </c>
    </row>
    <row r="58">
      <c r="A58" s="54" t="n">
        <v>46</v>
      </c>
      <c r="B58" s="54">
        <f>'대시보드_및_설정'!$C$14+A58</f>
        <v/>
      </c>
      <c r="C58" s="32">
        <f>'대시보드_및_설정'!$C$11+B58</f>
        <v/>
      </c>
      <c r="D58" s="45">
        <f>MAX(0,P57)</f>
        <v/>
      </c>
      <c r="E58" s="45">
        <f>Q57</f>
        <v/>
      </c>
      <c r="F58" s="48">
        <f>IF(D58&gt;0,MAX(0,1-E58/D58),0)</f>
        <v/>
      </c>
      <c r="G58" s="45">
        <f>'대시보드_및_설정'!$C$15*12*(1+'대시보드_및_설정'!$C$16)^(B58-1)</f>
        <v/>
      </c>
      <c r="H58" s="45">
        <f>(G58-D58*$C$10)/(1-$C$10)</f>
        <v/>
      </c>
      <c r="I58" s="45">
        <f>IF(D58&lt;=0,0,MIN(D58,MAX(0,IF(H58*F58&lt;='대시보드_및_설정'!$C$19,H58,(G58-D58*$C$10-'대시보드_및_설정'!$C$18*'대시보드_및_설정'!$C$19)/(1-'대시보드_및_설정'!$C$18*F58-$C$10)))))</f>
        <v/>
      </c>
      <c r="J58" s="45">
        <f>MAX(0,I58*F58-'대시보드_및_설정'!$C$19)*'대시보드_및_설정'!$C$18</f>
        <v/>
      </c>
      <c r="K58" s="45">
        <f>D58-I58</f>
        <v/>
      </c>
      <c r="L58" s="45">
        <f>K58*$C$10</f>
        <v/>
      </c>
      <c r="M58" s="45">
        <f>MIN(G58,I58-J58+L58)</f>
        <v/>
      </c>
      <c r="N58" s="45">
        <f>MAX(0,I58-J58+L58-G58)</f>
        <v/>
      </c>
      <c r="O58" s="45">
        <f>K58*$C$8</f>
        <v/>
      </c>
      <c r="P58" s="47">
        <f>K58+O58+N58</f>
        <v/>
      </c>
      <c r="Q58" s="45">
        <f>IF(D58&gt;0,E58*(1-I58/D58),0)+N58</f>
        <v/>
      </c>
      <c r="R58" s="45">
        <f>MAX(0,G58-M58)</f>
        <v/>
      </c>
      <c r="S58" s="54">
        <f>IF(R58&gt;1,"고갈","정상")</f>
        <v/>
      </c>
      <c r="T58" s="45">
        <f>P58/(1+'대시보드_및_설정'!$C$16)^B58</f>
        <v/>
      </c>
    </row>
    <row r="59">
      <c r="A59" s="54" t="n">
        <v>47</v>
      </c>
      <c r="B59" s="54">
        <f>'대시보드_및_설정'!$C$14+A59</f>
        <v/>
      </c>
      <c r="C59" s="32">
        <f>'대시보드_및_설정'!$C$11+B59</f>
        <v/>
      </c>
      <c r="D59" s="45">
        <f>MAX(0,P58)</f>
        <v/>
      </c>
      <c r="E59" s="45">
        <f>Q58</f>
        <v/>
      </c>
      <c r="F59" s="48">
        <f>IF(D59&gt;0,MAX(0,1-E59/D59),0)</f>
        <v/>
      </c>
      <c r="G59" s="45">
        <f>'대시보드_및_설정'!$C$15*12*(1+'대시보드_및_설정'!$C$16)^(B59-1)</f>
        <v/>
      </c>
      <c r="H59" s="45">
        <f>(G59-D59*$C$10)/(1-$C$10)</f>
        <v/>
      </c>
      <c r="I59" s="45">
        <f>IF(D59&lt;=0,0,MIN(D59,MAX(0,IF(H59*F59&lt;='대시보드_및_설정'!$C$19,H59,(G59-D59*$C$10-'대시보드_및_설정'!$C$18*'대시보드_및_설정'!$C$19)/(1-'대시보드_및_설정'!$C$18*F59-$C$10)))))</f>
        <v/>
      </c>
      <c r="J59" s="45">
        <f>MAX(0,I59*F59-'대시보드_및_설정'!$C$19)*'대시보드_및_설정'!$C$18</f>
        <v/>
      </c>
      <c r="K59" s="45">
        <f>D59-I59</f>
        <v/>
      </c>
      <c r="L59" s="45">
        <f>K59*$C$10</f>
        <v/>
      </c>
      <c r="M59" s="45">
        <f>MIN(G59,I59-J59+L59)</f>
        <v/>
      </c>
      <c r="N59" s="45">
        <f>MAX(0,I59-J59+L59-G59)</f>
        <v/>
      </c>
      <c r="O59" s="45">
        <f>K59*$C$8</f>
        <v/>
      </c>
      <c r="P59" s="47">
        <f>K59+O59+N59</f>
        <v/>
      </c>
      <c r="Q59" s="45">
        <f>IF(D59&gt;0,E59*(1-I59/D59),0)+N59</f>
        <v/>
      </c>
      <c r="R59" s="45">
        <f>MAX(0,G59-M59)</f>
        <v/>
      </c>
      <c r="S59" s="54">
        <f>IF(R59&gt;1,"고갈","정상")</f>
        <v/>
      </c>
      <c r="T59" s="45">
        <f>P59/(1+'대시보드_및_설정'!$C$16)^B59</f>
        <v/>
      </c>
    </row>
    <row r="60">
      <c r="A60" s="54" t="n">
        <v>48</v>
      </c>
      <c r="B60" s="54">
        <f>'대시보드_및_설정'!$C$14+A60</f>
        <v/>
      </c>
      <c r="C60" s="32">
        <f>'대시보드_및_설정'!$C$11+B60</f>
        <v/>
      </c>
      <c r="D60" s="45">
        <f>MAX(0,P59)</f>
        <v/>
      </c>
      <c r="E60" s="45">
        <f>Q59</f>
        <v/>
      </c>
      <c r="F60" s="48">
        <f>IF(D60&gt;0,MAX(0,1-E60/D60),0)</f>
        <v/>
      </c>
      <c r="G60" s="45">
        <f>'대시보드_및_설정'!$C$15*12*(1+'대시보드_및_설정'!$C$16)^(B60-1)</f>
        <v/>
      </c>
      <c r="H60" s="45">
        <f>(G60-D60*$C$10)/(1-$C$10)</f>
        <v/>
      </c>
      <c r="I60" s="45">
        <f>IF(D60&lt;=0,0,MIN(D60,MAX(0,IF(H60*F60&lt;='대시보드_및_설정'!$C$19,H60,(G60-D60*$C$10-'대시보드_및_설정'!$C$18*'대시보드_및_설정'!$C$19)/(1-'대시보드_및_설정'!$C$18*F60-$C$10)))))</f>
        <v/>
      </c>
      <c r="J60" s="45">
        <f>MAX(0,I60*F60-'대시보드_및_설정'!$C$19)*'대시보드_및_설정'!$C$18</f>
        <v/>
      </c>
      <c r="K60" s="45">
        <f>D60-I60</f>
        <v/>
      </c>
      <c r="L60" s="45">
        <f>K60*$C$10</f>
        <v/>
      </c>
      <c r="M60" s="45">
        <f>MIN(G60,I60-J60+L60)</f>
        <v/>
      </c>
      <c r="N60" s="45">
        <f>MAX(0,I60-J60+L60-G60)</f>
        <v/>
      </c>
      <c r="O60" s="45">
        <f>K60*$C$8</f>
        <v/>
      </c>
      <c r="P60" s="47">
        <f>K60+O60+N60</f>
        <v/>
      </c>
      <c r="Q60" s="45">
        <f>IF(D60&gt;0,E60*(1-I60/D60),0)+N60</f>
        <v/>
      </c>
      <c r="R60" s="45">
        <f>MAX(0,G60-M60)</f>
        <v/>
      </c>
      <c r="S60" s="54">
        <f>IF(R60&gt;1,"고갈","정상")</f>
        <v/>
      </c>
      <c r="T60" s="45">
        <f>P60/(1+'대시보드_및_설정'!$C$16)^B60</f>
        <v/>
      </c>
    </row>
    <row r="61">
      <c r="A61" s="54" t="n">
        <v>49</v>
      </c>
      <c r="B61" s="54">
        <f>'대시보드_및_설정'!$C$14+A61</f>
        <v/>
      </c>
      <c r="C61" s="32">
        <f>'대시보드_및_설정'!$C$11+B61</f>
        <v/>
      </c>
      <c r="D61" s="45">
        <f>MAX(0,P60)</f>
        <v/>
      </c>
      <c r="E61" s="45">
        <f>Q60</f>
        <v/>
      </c>
      <c r="F61" s="48">
        <f>IF(D61&gt;0,MAX(0,1-E61/D61),0)</f>
        <v/>
      </c>
      <c r="G61" s="45">
        <f>'대시보드_및_설정'!$C$15*12*(1+'대시보드_및_설정'!$C$16)^(B61-1)</f>
        <v/>
      </c>
      <c r="H61" s="45">
        <f>(G61-D61*$C$10)/(1-$C$10)</f>
        <v/>
      </c>
      <c r="I61" s="45">
        <f>IF(D61&lt;=0,0,MIN(D61,MAX(0,IF(H61*F61&lt;='대시보드_및_설정'!$C$19,H61,(G61-D61*$C$10-'대시보드_및_설정'!$C$18*'대시보드_및_설정'!$C$19)/(1-'대시보드_및_설정'!$C$18*F61-$C$10)))))</f>
        <v/>
      </c>
      <c r="J61" s="45">
        <f>MAX(0,I61*F61-'대시보드_및_설정'!$C$19)*'대시보드_및_설정'!$C$18</f>
        <v/>
      </c>
      <c r="K61" s="45">
        <f>D61-I61</f>
        <v/>
      </c>
      <c r="L61" s="45">
        <f>K61*$C$10</f>
        <v/>
      </c>
      <c r="M61" s="45">
        <f>MIN(G61,I61-J61+L61)</f>
        <v/>
      </c>
      <c r="N61" s="45">
        <f>MAX(0,I61-J61+L61-G61)</f>
        <v/>
      </c>
      <c r="O61" s="45">
        <f>K61*$C$8</f>
        <v/>
      </c>
      <c r="P61" s="47">
        <f>K61+O61+N61</f>
        <v/>
      </c>
      <c r="Q61" s="45">
        <f>IF(D61&gt;0,E61*(1-I61/D61),0)+N61</f>
        <v/>
      </c>
      <c r="R61" s="45">
        <f>MAX(0,G61-M61)</f>
        <v/>
      </c>
      <c r="S61" s="54">
        <f>IF(R61&gt;1,"고갈","정상")</f>
        <v/>
      </c>
      <c r="T61" s="45">
        <f>P61/(1+'대시보드_및_설정'!$C$16)^B61</f>
        <v/>
      </c>
    </row>
    <row r="62">
      <c r="A62" s="54" t="n">
        <v>50</v>
      </c>
      <c r="B62" s="54">
        <f>'대시보드_및_설정'!$C$14+A62</f>
        <v/>
      </c>
      <c r="C62" s="32">
        <f>'대시보드_및_설정'!$C$11+B62</f>
        <v/>
      </c>
      <c r="D62" s="45">
        <f>MAX(0,P61)</f>
        <v/>
      </c>
      <c r="E62" s="45">
        <f>Q61</f>
        <v/>
      </c>
      <c r="F62" s="48">
        <f>IF(D62&gt;0,MAX(0,1-E62/D62),0)</f>
        <v/>
      </c>
      <c r="G62" s="45">
        <f>'대시보드_및_설정'!$C$15*12*(1+'대시보드_및_설정'!$C$16)^(B62-1)</f>
        <v/>
      </c>
      <c r="H62" s="45">
        <f>(G62-D62*$C$10)/(1-$C$10)</f>
        <v/>
      </c>
      <c r="I62" s="45">
        <f>IF(D62&lt;=0,0,MIN(D62,MAX(0,IF(H62*F62&lt;='대시보드_및_설정'!$C$19,H62,(G62-D62*$C$10-'대시보드_및_설정'!$C$18*'대시보드_및_설정'!$C$19)/(1-'대시보드_및_설정'!$C$18*F62-$C$10)))))</f>
        <v/>
      </c>
      <c r="J62" s="45">
        <f>MAX(0,I62*F62-'대시보드_및_설정'!$C$19)*'대시보드_및_설정'!$C$18</f>
        <v/>
      </c>
      <c r="K62" s="45">
        <f>D62-I62</f>
        <v/>
      </c>
      <c r="L62" s="45">
        <f>K62*$C$10</f>
        <v/>
      </c>
      <c r="M62" s="45">
        <f>MIN(G62,I62-J62+L62)</f>
        <v/>
      </c>
      <c r="N62" s="45">
        <f>MAX(0,I62-J62+L62-G62)</f>
        <v/>
      </c>
      <c r="O62" s="45">
        <f>K62*$C$8</f>
        <v/>
      </c>
      <c r="P62" s="47">
        <f>K62+O62+N62</f>
        <v/>
      </c>
      <c r="Q62" s="45">
        <f>IF(D62&gt;0,E62*(1-I62/D62),0)+N62</f>
        <v/>
      </c>
      <c r="R62" s="45">
        <f>MAX(0,G62-M62)</f>
        <v/>
      </c>
      <c r="S62" s="54">
        <f>IF(R62&gt;1,"고갈","정상")</f>
        <v/>
      </c>
      <c r="T62" s="45">
        <f>P62/(1+'대시보드_및_설정'!$C$16)^B62</f>
        <v/>
      </c>
    </row>
    <row r="63">
      <c r="A63" s="54" t="n">
        <v>51</v>
      </c>
      <c r="B63" s="54">
        <f>'대시보드_및_설정'!$C$14+A63</f>
        <v/>
      </c>
      <c r="C63" s="32">
        <f>'대시보드_및_설정'!$C$11+B63</f>
        <v/>
      </c>
      <c r="D63" s="45">
        <f>MAX(0,P62)</f>
        <v/>
      </c>
      <c r="E63" s="45">
        <f>Q62</f>
        <v/>
      </c>
      <c r="F63" s="48">
        <f>IF(D63&gt;0,MAX(0,1-E63/D63),0)</f>
        <v/>
      </c>
      <c r="G63" s="45">
        <f>'대시보드_및_설정'!$C$15*12*(1+'대시보드_및_설정'!$C$16)^(B63-1)</f>
        <v/>
      </c>
      <c r="H63" s="45">
        <f>(G63-D63*$C$10)/(1-$C$10)</f>
        <v/>
      </c>
      <c r="I63" s="45">
        <f>IF(D63&lt;=0,0,MIN(D63,MAX(0,IF(H63*F63&lt;='대시보드_및_설정'!$C$19,H63,(G63-D63*$C$10-'대시보드_및_설정'!$C$18*'대시보드_및_설정'!$C$19)/(1-'대시보드_및_설정'!$C$18*F63-$C$10)))))</f>
        <v/>
      </c>
      <c r="J63" s="45">
        <f>MAX(0,I63*F63-'대시보드_및_설정'!$C$19)*'대시보드_및_설정'!$C$18</f>
        <v/>
      </c>
      <c r="K63" s="45">
        <f>D63-I63</f>
        <v/>
      </c>
      <c r="L63" s="45">
        <f>K63*$C$10</f>
        <v/>
      </c>
      <c r="M63" s="45">
        <f>MIN(G63,I63-J63+L63)</f>
        <v/>
      </c>
      <c r="N63" s="45">
        <f>MAX(0,I63-J63+L63-G63)</f>
        <v/>
      </c>
      <c r="O63" s="45">
        <f>K63*$C$8</f>
        <v/>
      </c>
      <c r="P63" s="47">
        <f>K63+O63+N63</f>
        <v/>
      </c>
      <c r="Q63" s="45">
        <f>IF(D63&gt;0,E63*(1-I63/D63),0)+N63</f>
        <v/>
      </c>
      <c r="R63" s="45">
        <f>MAX(0,G63-M63)</f>
        <v/>
      </c>
      <c r="S63" s="54">
        <f>IF(R63&gt;1,"고갈","정상")</f>
        <v/>
      </c>
      <c r="T63" s="45">
        <f>P63/(1+'대시보드_및_설정'!$C$16)^B63</f>
        <v/>
      </c>
    </row>
    <row r="64">
      <c r="A64" s="54" t="n">
        <v>52</v>
      </c>
      <c r="B64" s="54">
        <f>'대시보드_및_설정'!$C$14+A64</f>
        <v/>
      </c>
      <c r="C64" s="32">
        <f>'대시보드_및_설정'!$C$11+B64</f>
        <v/>
      </c>
      <c r="D64" s="45">
        <f>MAX(0,P63)</f>
        <v/>
      </c>
      <c r="E64" s="45">
        <f>Q63</f>
        <v/>
      </c>
      <c r="F64" s="48">
        <f>IF(D64&gt;0,MAX(0,1-E64/D64),0)</f>
        <v/>
      </c>
      <c r="G64" s="45">
        <f>'대시보드_및_설정'!$C$15*12*(1+'대시보드_및_설정'!$C$16)^(B64-1)</f>
        <v/>
      </c>
      <c r="H64" s="45">
        <f>(G64-D64*$C$10)/(1-$C$10)</f>
        <v/>
      </c>
      <c r="I64" s="45">
        <f>IF(D64&lt;=0,0,MIN(D64,MAX(0,IF(H64*F64&lt;='대시보드_및_설정'!$C$19,H64,(G64-D64*$C$10-'대시보드_및_설정'!$C$18*'대시보드_및_설정'!$C$19)/(1-'대시보드_및_설정'!$C$18*F64-$C$10)))))</f>
        <v/>
      </c>
      <c r="J64" s="45">
        <f>MAX(0,I64*F64-'대시보드_및_설정'!$C$19)*'대시보드_및_설정'!$C$18</f>
        <v/>
      </c>
      <c r="K64" s="45">
        <f>D64-I64</f>
        <v/>
      </c>
      <c r="L64" s="45">
        <f>K64*$C$10</f>
        <v/>
      </c>
      <c r="M64" s="45">
        <f>MIN(G64,I64-J64+L64)</f>
        <v/>
      </c>
      <c r="N64" s="45">
        <f>MAX(0,I64-J64+L64-G64)</f>
        <v/>
      </c>
      <c r="O64" s="45">
        <f>K64*$C$8</f>
        <v/>
      </c>
      <c r="P64" s="47">
        <f>K64+O64+N64</f>
        <v/>
      </c>
      <c r="Q64" s="45">
        <f>IF(D64&gt;0,E64*(1-I64/D64),0)+N64</f>
        <v/>
      </c>
      <c r="R64" s="45">
        <f>MAX(0,G64-M64)</f>
        <v/>
      </c>
      <c r="S64" s="54">
        <f>IF(R64&gt;1,"고갈","정상")</f>
        <v/>
      </c>
      <c r="T64" s="45">
        <f>P64/(1+'대시보드_및_설정'!$C$16)^B64</f>
        <v/>
      </c>
    </row>
    <row r="65">
      <c r="A65" s="54" t="n">
        <v>53</v>
      </c>
      <c r="B65" s="54">
        <f>'대시보드_및_설정'!$C$14+A65</f>
        <v/>
      </c>
      <c r="C65" s="32">
        <f>'대시보드_및_설정'!$C$11+B65</f>
        <v/>
      </c>
      <c r="D65" s="45">
        <f>MAX(0,P64)</f>
        <v/>
      </c>
      <c r="E65" s="45">
        <f>Q64</f>
        <v/>
      </c>
      <c r="F65" s="48">
        <f>IF(D65&gt;0,MAX(0,1-E65/D65),0)</f>
        <v/>
      </c>
      <c r="G65" s="45">
        <f>'대시보드_및_설정'!$C$15*12*(1+'대시보드_및_설정'!$C$16)^(B65-1)</f>
        <v/>
      </c>
      <c r="H65" s="45">
        <f>(G65-D65*$C$10)/(1-$C$10)</f>
        <v/>
      </c>
      <c r="I65" s="45">
        <f>IF(D65&lt;=0,0,MIN(D65,MAX(0,IF(H65*F65&lt;='대시보드_및_설정'!$C$19,H65,(G65-D65*$C$10-'대시보드_및_설정'!$C$18*'대시보드_및_설정'!$C$19)/(1-'대시보드_및_설정'!$C$18*F65-$C$10)))))</f>
        <v/>
      </c>
      <c r="J65" s="45">
        <f>MAX(0,I65*F65-'대시보드_및_설정'!$C$19)*'대시보드_및_설정'!$C$18</f>
        <v/>
      </c>
      <c r="K65" s="45">
        <f>D65-I65</f>
        <v/>
      </c>
      <c r="L65" s="45">
        <f>K65*$C$10</f>
        <v/>
      </c>
      <c r="M65" s="45">
        <f>MIN(G65,I65-J65+L65)</f>
        <v/>
      </c>
      <c r="N65" s="45">
        <f>MAX(0,I65-J65+L65-G65)</f>
        <v/>
      </c>
      <c r="O65" s="45">
        <f>K65*$C$8</f>
        <v/>
      </c>
      <c r="P65" s="47">
        <f>K65+O65+N65</f>
        <v/>
      </c>
      <c r="Q65" s="45">
        <f>IF(D65&gt;0,E65*(1-I65/D65),0)+N65</f>
        <v/>
      </c>
      <c r="R65" s="45">
        <f>MAX(0,G65-M65)</f>
        <v/>
      </c>
      <c r="S65" s="54">
        <f>IF(R65&gt;1,"고갈","정상")</f>
        <v/>
      </c>
      <c r="T65" s="45">
        <f>P65/(1+'대시보드_및_설정'!$C$16)^B65</f>
        <v/>
      </c>
    </row>
    <row r="66">
      <c r="A66" s="54" t="n">
        <v>54</v>
      </c>
      <c r="B66" s="54">
        <f>'대시보드_및_설정'!$C$14+A66</f>
        <v/>
      </c>
      <c r="C66" s="32">
        <f>'대시보드_및_설정'!$C$11+B66</f>
        <v/>
      </c>
      <c r="D66" s="45">
        <f>MAX(0,P65)</f>
        <v/>
      </c>
      <c r="E66" s="45">
        <f>Q65</f>
        <v/>
      </c>
      <c r="F66" s="48">
        <f>IF(D66&gt;0,MAX(0,1-E66/D66),0)</f>
        <v/>
      </c>
      <c r="G66" s="45">
        <f>'대시보드_및_설정'!$C$15*12*(1+'대시보드_및_설정'!$C$16)^(B66-1)</f>
        <v/>
      </c>
      <c r="H66" s="45">
        <f>(G66-D66*$C$10)/(1-$C$10)</f>
        <v/>
      </c>
      <c r="I66" s="45">
        <f>IF(D66&lt;=0,0,MIN(D66,MAX(0,IF(H66*F66&lt;='대시보드_및_설정'!$C$19,H66,(G66-D66*$C$10-'대시보드_및_설정'!$C$18*'대시보드_및_설정'!$C$19)/(1-'대시보드_및_설정'!$C$18*F66-$C$10)))))</f>
        <v/>
      </c>
      <c r="J66" s="45">
        <f>MAX(0,I66*F66-'대시보드_및_설정'!$C$19)*'대시보드_및_설정'!$C$18</f>
        <v/>
      </c>
      <c r="K66" s="45">
        <f>D66-I66</f>
        <v/>
      </c>
      <c r="L66" s="45">
        <f>K66*$C$10</f>
        <v/>
      </c>
      <c r="M66" s="45">
        <f>MIN(G66,I66-J66+L66)</f>
        <v/>
      </c>
      <c r="N66" s="45">
        <f>MAX(0,I66-J66+L66-G66)</f>
        <v/>
      </c>
      <c r="O66" s="45">
        <f>K66*$C$8</f>
        <v/>
      </c>
      <c r="P66" s="47">
        <f>K66+O66+N66</f>
        <v/>
      </c>
      <c r="Q66" s="45">
        <f>IF(D66&gt;0,E66*(1-I66/D66),0)+N66</f>
        <v/>
      </c>
      <c r="R66" s="45">
        <f>MAX(0,G66-M66)</f>
        <v/>
      </c>
      <c r="S66" s="54">
        <f>IF(R66&gt;1,"고갈","정상")</f>
        <v/>
      </c>
      <c r="T66" s="45">
        <f>P66/(1+'대시보드_및_설정'!$C$16)^B66</f>
        <v/>
      </c>
    </row>
    <row r="67">
      <c r="A67" s="54" t="n">
        <v>55</v>
      </c>
      <c r="B67" s="54">
        <f>'대시보드_및_설정'!$C$14+A67</f>
        <v/>
      </c>
      <c r="C67" s="32">
        <f>'대시보드_및_설정'!$C$11+B67</f>
        <v/>
      </c>
      <c r="D67" s="45">
        <f>MAX(0,P66)</f>
        <v/>
      </c>
      <c r="E67" s="45">
        <f>Q66</f>
        <v/>
      </c>
      <c r="F67" s="48">
        <f>IF(D67&gt;0,MAX(0,1-E67/D67),0)</f>
        <v/>
      </c>
      <c r="G67" s="45">
        <f>'대시보드_및_설정'!$C$15*12*(1+'대시보드_및_설정'!$C$16)^(B67-1)</f>
        <v/>
      </c>
      <c r="H67" s="45">
        <f>(G67-D67*$C$10)/(1-$C$10)</f>
        <v/>
      </c>
      <c r="I67" s="45">
        <f>IF(D67&lt;=0,0,MIN(D67,MAX(0,IF(H67*F67&lt;='대시보드_및_설정'!$C$19,H67,(G67-D67*$C$10-'대시보드_및_설정'!$C$18*'대시보드_및_설정'!$C$19)/(1-'대시보드_및_설정'!$C$18*F67-$C$10)))))</f>
        <v/>
      </c>
      <c r="J67" s="45">
        <f>MAX(0,I67*F67-'대시보드_및_설정'!$C$19)*'대시보드_및_설정'!$C$18</f>
        <v/>
      </c>
      <c r="K67" s="45">
        <f>D67-I67</f>
        <v/>
      </c>
      <c r="L67" s="45">
        <f>K67*$C$10</f>
        <v/>
      </c>
      <c r="M67" s="45">
        <f>MIN(G67,I67-J67+L67)</f>
        <v/>
      </c>
      <c r="N67" s="45">
        <f>MAX(0,I67-J67+L67-G67)</f>
        <v/>
      </c>
      <c r="O67" s="45">
        <f>K67*$C$8</f>
        <v/>
      </c>
      <c r="P67" s="47">
        <f>K67+O67+N67</f>
        <v/>
      </c>
      <c r="Q67" s="45">
        <f>IF(D67&gt;0,E67*(1-I67/D67),0)+N67</f>
        <v/>
      </c>
      <c r="R67" s="45">
        <f>MAX(0,G67-M67)</f>
        <v/>
      </c>
      <c r="S67" s="54">
        <f>IF(R67&gt;1,"고갈","정상")</f>
        <v/>
      </c>
      <c r="T67" s="45">
        <f>P67/(1+'대시보드_및_설정'!$C$16)^B67</f>
        <v/>
      </c>
    </row>
    <row r="68">
      <c r="A68" s="54" t="n">
        <v>56</v>
      </c>
      <c r="B68" s="54">
        <f>'대시보드_및_설정'!$C$14+A68</f>
        <v/>
      </c>
      <c r="C68" s="32">
        <f>'대시보드_및_설정'!$C$11+B68</f>
        <v/>
      </c>
      <c r="D68" s="45">
        <f>MAX(0,P67)</f>
        <v/>
      </c>
      <c r="E68" s="45">
        <f>Q67</f>
        <v/>
      </c>
      <c r="F68" s="48">
        <f>IF(D68&gt;0,MAX(0,1-E68/D68),0)</f>
        <v/>
      </c>
      <c r="G68" s="45">
        <f>'대시보드_및_설정'!$C$15*12*(1+'대시보드_및_설정'!$C$16)^(B68-1)</f>
        <v/>
      </c>
      <c r="H68" s="45">
        <f>(G68-D68*$C$10)/(1-$C$10)</f>
        <v/>
      </c>
      <c r="I68" s="45">
        <f>IF(D68&lt;=0,0,MIN(D68,MAX(0,IF(H68*F68&lt;='대시보드_및_설정'!$C$19,H68,(G68-D68*$C$10-'대시보드_및_설정'!$C$18*'대시보드_및_설정'!$C$19)/(1-'대시보드_및_설정'!$C$18*F68-$C$10)))))</f>
        <v/>
      </c>
      <c r="J68" s="45">
        <f>MAX(0,I68*F68-'대시보드_및_설정'!$C$19)*'대시보드_및_설정'!$C$18</f>
        <v/>
      </c>
      <c r="K68" s="45">
        <f>D68-I68</f>
        <v/>
      </c>
      <c r="L68" s="45">
        <f>K68*$C$10</f>
        <v/>
      </c>
      <c r="M68" s="45">
        <f>MIN(G68,I68-J68+L68)</f>
        <v/>
      </c>
      <c r="N68" s="45">
        <f>MAX(0,I68-J68+L68-G68)</f>
        <v/>
      </c>
      <c r="O68" s="45">
        <f>K68*$C$8</f>
        <v/>
      </c>
      <c r="P68" s="47">
        <f>K68+O68+N68</f>
        <v/>
      </c>
      <c r="Q68" s="45">
        <f>IF(D68&gt;0,E68*(1-I68/D68),0)+N68</f>
        <v/>
      </c>
      <c r="R68" s="45">
        <f>MAX(0,G68-M68)</f>
        <v/>
      </c>
      <c r="S68" s="54">
        <f>IF(R68&gt;1,"고갈","정상")</f>
        <v/>
      </c>
      <c r="T68" s="45">
        <f>P68/(1+'대시보드_및_설정'!$C$16)^B68</f>
        <v/>
      </c>
    </row>
    <row r="69">
      <c r="A69" s="54" t="n">
        <v>57</v>
      </c>
      <c r="B69" s="54">
        <f>'대시보드_및_설정'!$C$14+A69</f>
        <v/>
      </c>
      <c r="C69" s="32">
        <f>'대시보드_및_설정'!$C$11+B69</f>
        <v/>
      </c>
      <c r="D69" s="45">
        <f>MAX(0,P68)</f>
        <v/>
      </c>
      <c r="E69" s="45">
        <f>Q68</f>
        <v/>
      </c>
      <c r="F69" s="48">
        <f>IF(D69&gt;0,MAX(0,1-E69/D69),0)</f>
        <v/>
      </c>
      <c r="G69" s="45">
        <f>'대시보드_및_설정'!$C$15*12*(1+'대시보드_및_설정'!$C$16)^(B69-1)</f>
        <v/>
      </c>
      <c r="H69" s="45">
        <f>(G69-D69*$C$10)/(1-$C$10)</f>
        <v/>
      </c>
      <c r="I69" s="45">
        <f>IF(D69&lt;=0,0,MIN(D69,MAX(0,IF(H69*F69&lt;='대시보드_및_설정'!$C$19,H69,(G69-D69*$C$10-'대시보드_및_설정'!$C$18*'대시보드_및_설정'!$C$19)/(1-'대시보드_및_설정'!$C$18*F69-$C$10)))))</f>
        <v/>
      </c>
      <c r="J69" s="45">
        <f>MAX(0,I69*F69-'대시보드_및_설정'!$C$19)*'대시보드_및_설정'!$C$18</f>
        <v/>
      </c>
      <c r="K69" s="45">
        <f>D69-I69</f>
        <v/>
      </c>
      <c r="L69" s="45">
        <f>K69*$C$10</f>
        <v/>
      </c>
      <c r="M69" s="45">
        <f>MIN(G69,I69-J69+L69)</f>
        <v/>
      </c>
      <c r="N69" s="45">
        <f>MAX(0,I69-J69+L69-G69)</f>
        <v/>
      </c>
      <c r="O69" s="45">
        <f>K69*$C$8</f>
        <v/>
      </c>
      <c r="P69" s="47">
        <f>K69+O69+N69</f>
        <v/>
      </c>
      <c r="Q69" s="45">
        <f>IF(D69&gt;0,E69*(1-I69/D69),0)+N69</f>
        <v/>
      </c>
      <c r="R69" s="45">
        <f>MAX(0,G69-M69)</f>
        <v/>
      </c>
      <c r="S69" s="54">
        <f>IF(R69&gt;1,"고갈","정상")</f>
        <v/>
      </c>
      <c r="T69" s="45">
        <f>P69/(1+'대시보드_및_설정'!$C$16)^B69</f>
        <v/>
      </c>
    </row>
    <row r="70">
      <c r="A70" s="54" t="n">
        <v>58</v>
      </c>
      <c r="B70" s="54">
        <f>'대시보드_및_설정'!$C$14+A70</f>
        <v/>
      </c>
      <c r="C70" s="32">
        <f>'대시보드_및_설정'!$C$11+B70</f>
        <v/>
      </c>
      <c r="D70" s="45">
        <f>MAX(0,P69)</f>
        <v/>
      </c>
      <c r="E70" s="45">
        <f>Q69</f>
        <v/>
      </c>
      <c r="F70" s="48">
        <f>IF(D70&gt;0,MAX(0,1-E70/D70),0)</f>
        <v/>
      </c>
      <c r="G70" s="45">
        <f>'대시보드_및_설정'!$C$15*12*(1+'대시보드_및_설정'!$C$16)^(B70-1)</f>
        <v/>
      </c>
      <c r="H70" s="45">
        <f>(G70-D70*$C$10)/(1-$C$10)</f>
        <v/>
      </c>
      <c r="I70" s="45">
        <f>IF(D70&lt;=0,0,MIN(D70,MAX(0,IF(H70*F70&lt;='대시보드_및_설정'!$C$19,H70,(G70-D70*$C$10-'대시보드_및_설정'!$C$18*'대시보드_및_설정'!$C$19)/(1-'대시보드_및_설정'!$C$18*F70-$C$10)))))</f>
        <v/>
      </c>
      <c r="J70" s="45">
        <f>MAX(0,I70*F70-'대시보드_및_설정'!$C$19)*'대시보드_및_설정'!$C$18</f>
        <v/>
      </c>
      <c r="K70" s="45">
        <f>D70-I70</f>
        <v/>
      </c>
      <c r="L70" s="45">
        <f>K70*$C$10</f>
        <v/>
      </c>
      <c r="M70" s="45">
        <f>MIN(G70,I70-J70+L70)</f>
        <v/>
      </c>
      <c r="N70" s="45">
        <f>MAX(0,I70-J70+L70-G70)</f>
        <v/>
      </c>
      <c r="O70" s="45">
        <f>K70*$C$8</f>
        <v/>
      </c>
      <c r="P70" s="47">
        <f>K70+O70+N70</f>
        <v/>
      </c>
      <c r="Q70" s="45">
        <f>IF(D70&gt;0,E70*(1-I70/D70),0)+N70</f>
        <v/>
      </c>
      <c r="R70" s="45">
        <f>MAX(0,G70-M70)</f>
        <v/>
      </c>
      <c r="S70" s="54">
        <f>IF(R70&gt;1,"고갈","정상")</f>
        <v/>
      </c>
      <c r="T70" s="45">
        <f>P70/(1+'대시보드_및_설정'!$C$16)^B70</f>
        <v/>
      </c>
    </row>
    <row r="71">
      <c r="A71" s="54" t="n">
        <v>59</v>
      </c>
      <c r="B71" s="54">
        <f>'대시보드_및_설정'!$C$14+A71</f>
        <v/>
      </c>
      <c r="C71" s="32">
        <f>'대시보드_및_설정'!$C$11+B71</f>
        <v/>
      </c>
      <c r="D71" s="45">
        <f>MAX(0,P70)</f>
        <v/>
      </c>
      <c r="E71" s="45">
        <f>Q70</f>
        <v/>
      </c>
      <c r="F71" s="48">
        <f>IF(D71&gt;0,MAX(0,1-E71/D71),0)</f>
        <v/>
      </c>
      <c r="G71" s="45">
        <f>'대시보드_및_설정'!$C$15*12*(1+'대시보드_및_설정'!$C$16)^(B71-1)</f>
        <v/>
      </c>
      <c r="H71" s="45">
        <f>(G71-D71*$C$10)/(1-$C$10)</f>
        <v/>
      </c>
      <c r="I71" s="45">
        <f>IF(D71&lt;=0,0,MIN(D71,MAX(0,IF(H71*F71&lt;='대시보드_및_설정'!$C$19,H71,(G71-D71*$C$10-'대시보드_및_설정'!$C$18*'대시보드_및_설정'!$C$19)/(1-'대시보드_및_설정'!$C$18*F71-$C$10)))))</f>
        <v/>
      </c>
      <c r="J71" s="45">
        <f>MAX(0,I71*F71-'대시보드_및_설정'!$C$19)*'대시보드_및_설정'!$C$18</f>
        <v/>
      </c>
      <c r="K71" s="45">
        <f>D71-I71</f>
        <v/>
      </c>
      <c r="L71" s="45">
        <f>K71*$C$10</f>
        <v/>
      </c>
      <c r="M71" s="45">
        <f>MIN(G71,I71-J71+L71)</f>
        <v/>
      </c>
      <c r="N71" s="45">
        <f>MAX(0,I71-J71+L71-G71)</f>
        <v/>
      </c>
      <c r="O71" s="45">
        <f>K71*$C$8</f>
        <v/>
      </c>
      <c r="P71" s="47">
        <f>K71+O71+N71</f>
        <v/>
      </c>
      <c r="Q71" s="45">
        <f>IF(D71&gt;0,E71*(1-I71/D71),0)+N71</f>
        <v/>
      </c>
      <c r="R71" s="45">
        <f>MAX(0,G71-M71)</f>
        <v/>
      </c>
      <c r="S71" s="54">
        <f>IF(R71&gt;1,"고갈","정상")</f>
        <v/>
      </c>
      <c r="T71" s="45">
        <f>P71/(1+'대시보드_및_설정'!$C$16)^B71</f>
        <v/>
      </c>
    </row>
    <row r="72">
      <c r="A72" s="54" t="n">
        <v>60</v>
      </c>
      <c r="B72" s="54">
        <f>'대시보드_및_설정'!$C$14+A72</f>
        <v/>
      </c>
      <c r="C72" s="32">
        <f>'대시보드_및_설정'!$C$11+B72</f>
        <v/>
      </c>
      <c r="D72" s="45">
        <f>MAX(0,P71)</f>
        <v/>
      </c>
      <c r="E72" s="45">
        <f>Q71</f>
        <v/>
      </c>
      <c r="F72" s="48">
        <f>IF(D72&gt;0,MAX(0,1-E72/D72),0)</f>
        <v/>
      </c>
      <c r="G72" s="45">
        <f>'대시보드_및_설정'!$C$15*12*(1+'대시보드_및_설정'!$C$16)^(B72-1)</f>
        <v/>
      </c>
      <c r="H72" s="45">
        <f>(G72-D72*$C$10)/(1-$C$10)</f>
        <v/>
      </c>
      <c r="I72" s="45">
        <f>IF(D72&lt;=0,0,MIN(D72,MAX(0,IF(H72*F72&lt;='대시보드_및_설정'!$C$19,H72,(G72-D72*$C$10-'대시보드_및_설정'!$C$18*'대시보드_및_설정'!$C$19)/(1-'대시보드_및_설정'!$C$18*F72-$C$10)))))</f>
        <v/>
      </c>
      <c r="J72" s="45">
        <f>MAX(0,I72*F72-'대시보드_및_설정'!$C$19)*'대시보드_및_설정'!$C$18</f>
        <v/>
      </c>
      <c r="K72" s="45">
        <f>D72-I72</f>
        <v/>
      </c>
      <c r="L72" s="45">
        <f>K72*$C$10</f>
        <v/>
      </c>
      <c r="M72" s="45">
        <f>MIN(G72,I72-J72+L72)</f>
        <v/>
      </c>
      <c r="N72" s="45">
        <f>MAX(0,I72-J72+L72-G72)</f>
        <v/>
      </c>
      <c r="O72" s="45">
        <f>K72*$C$8</f>
        <v/>
      </c>
      <c r="P72" s="47">
        <f>K72+O72+N72</f>
        <v/>
      </c>
      <c r="Q72" s="45">
        <f>IF(D72&gt;0,E72*(1-I72/D72),0)+N72</f>
        <v/>
      </c>
      <c r="R72" s="45">
        <f>MAX(0,G72-M72)</f>
        <v/>
      </c>
      <c r="S72" s="54">
        <f>IF(R72&gt;1,"고갈","정상")</f>
        <v/>
      </c>
      <c r="T72" s="45">
        <f>P72/(1+'대시보드_및_설정'!$C$16)^B72</f>
        <v/>
      </c>
    </row>
  </sheetData>
  <mergeCells count="2">
    <mergeCell ref="C4:F4"/>
    <mergeCell ref="C3:F3"/>
  </mergeCells>
  <conditionalFormatting sqref="C3:F3">
    <cfRule type="expression" priority="1" dxfId="2">
      <formula>ISNUMBER(SEARCH("고갈",$C$3))</formula>
    </cfRule>
    <cfRule type="expression" priority="2" dxfId="3">
      <formula>ISNUMBER(SEARCH("영구",$C$3))</formula>
    </cfRule>
  </conditionalFormatting>
  <conditionalFormatting sqref="A13:T72">
    <cfRule type="expression" priority="3" dxfId="7">
      <formula>$S13="고갈"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2026-10-23T05:22:13Z</dcterms:created>
  <dcterms:modified xsi:type="dcterms:W3CDTF">2026-10-23T05:22:13Z</dcterms:modified>
</cp:coreProperties>
</file>